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luzern-my.sharepoint.com/personal/laura_gander_stud_hslu_ch/Documents/Master FS21/FS21_BINA/Daten/bereinigte Daten/"/>
    </mc:Choice>
  </mc:AlternateContent>
  <xr:revisionPtr revIDLastSave="0" documentId="8_{F97EEF55-DB39-EA46-8F1F-F39CA7229E4E}" xr6:coauthVersionLast="46" xr6:coauthVersionMax="46" xr10:uidLastSave="{00000000-0000-0000-0000-000000000000}"/>
  <bookViews>
    <workbookView xWindow="720" yWindow="500" windowWidth="40320" windowHeight="26600" xr2:uid="{F7B6A6B8-CEC2-F943-826A-B0ACF4088E5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2" i="1"/>
  <c r="Q163" i="1"/>
  <c r="F163" i="1" s="1"/>
  <c r="Q162" i="1"/>
  <c r="Q161" i="1"/>
  <c r="Q160" i="1"/>
  <c r="Q159" i="1"/>
  <c r="Q158" i="1"/>
  <c r="F158" i="1" s="1"/>
  <c r="Q157" i="1"/>
  <c r="F157" i="1" s="1"/>
  <c r="Q156" i="1"/>
  <c r="Q155" i="1"/>
  <c r="F155" i="1" s="1"/>
  <c r="Q154" i="1"/>
  <c r="Q153" i="1"/>
  <c r="Q152" i="1"/>
  <c r="Q151" i="1"/>
  <c r="Q150" i="1"/>
  <c r="F150" i="1" s="1"/>
  <c r="Q149" i="1"/>
  <c r="F149" i="1" s="1"/>
  <c r="Q148" i="1"/>
  <c r="Q147" i="1"/>
  <c r="F147" i="1" s="1"/>
  <c r="Q146" i="1"/>
  <c r="Q145" i="1"/>
  <c r="Q144" i="1"/>
  <c r="Q143" i="1"/>
  <c r="Q142" i="1"/>
  <c r="F142" i="1" s="1"/>
  <c r="Q141" i="1"/>
  <c r="F141" i="1" s="1"/>
  <c r="Q140" i="1"/>
  <c r="Q139" i="1"/>
  <c r="F139" i="1" s="1"/>
  <c r="Q138" i="1"/>
  <c r="Q137" i="1"/>
  <c r="Q136" i="1"/>
  <c r="Q135" i="1"/>
  <c r="Q134" i="1"/>
  <c r="F134" i="1" s="1"/>
  <c r="Q133" i="1"/>
  <c r="F133" i="1" s="1"/>
  <c r="Q132" i="1"/>
  <c r="Q131" i="1"/>
  <c r="F131" i="1" s="1"/>
  <c r="Q130" i="1"/>
  <c r="Q129" i="1"/>
  <c r="Q128" i="1"/>
  <c r="Q127" i="1"/>
  <c r="Q126" i="1"/>
  <c r="F126" i="1" s="1"/>
  <c r="Q125" i="1"/>
  <c r="F125" i="1" s="1"/>
  <c r="Q124" i="1"/>
  <c r="Q123" i="1"/>
  <c r="F123" i="1" s="1"/>
  <c r="Q122" i="1"/>
  <c r="Q121" i="1"/>
  <c r="Q120" i="1"/>
  <c r="Q119" i="1"/>
  <c r="Q118" i="1"/>
  <c r="F118" i="1" s="1"/>
  <c r="Q117" i="1"/>
  <c r="F117" i="1" s="1"/>
  <c r="Q116" i="1"/>
  <c r="Q115" i="1"/>
  <c r="F115" i="1" s="1"/>
  <c r="Q114" i="1"/>
  <c r="Q113" i="1"/>
  <c r="Q112" i="1"/>
  <c r="Q111" i="1"/>
  <c r="F111" i="1" s="1"/>
  <c r="Q110" i="1"/>
  <c r="F110" i="1" s="1"/>
  <c r="Q109" i="1"/>
  <c r="F109" i="1" s="1"/>
  <c r="Q108" i="1"/>
  <c r="Q107" i="1"/>
  <c r="F107" i="1" s="1"/>
  <c r="Q106" i="1"/>
  <c r="Q105" i="1"/>
  <c r="Q104" i="1"/>
  <c r="Q103" i="1"/>
  <c r="F103" i="1" s="1"/>
  <c r="Q102" i="1"/>
  <c r="F102" i="1" s="1"/>
  <c r="Q101" i="1"/>
  <c r="F101" i="1" s="1"/>
  <c r="Q100" i="1"/>
  <c r="Q99" i="1"/>
  <c r="F99" i="1" s="1"/>
  <c r="Q98" i="1"/>
  <c r="Q97" i="1"/>
  <c r="Q96" i="1"/>
  <c r="Q95" i="1"/>
  <c r="F95" i="1" s="1"/>
  <c r="Q94" i="1"/>
  <c r="F94" i="1" s="1"/>
  <c r="Q93" i="1"/>
  <c r="F93" i="1" s="1"/>
  <c r="Q92" i="1"/>
  <c r="Q91" i="1"/>
  <c r="F91" i="1" s="1"/>
  <c r="Q90" i="1"/>
  <c r="Q89" i="1"/>
  <c r="Q88" i="1"/>
  <c r="Q87" i="1"/>
  <c r="F87" i="1" s="1"/>
  <c r="Q86" i="1"/>
  <c r="F86" i="1" s="1"/>
  <c r="Q85" i="1"/>
  <c r="F85" i="1" s="1"/>
  <c r="Q84" i="1"/>
  <c r="Q83" i="1"/>
  <c r="F83" i="1" s="1"/>
  <c r="Q82" i="1"/>
  <c r="Q81" i="1"/>
  <c r="Q80" i="1"/>
  <c r="Q79" i="1"/>
  <c r="F79" i="1" s="1"/>
  <c r="Q78" i="1"/>
  <c r="F78" i="1" s="1"/>
  <c r="Q77" i="1"/>
  <c r="F77" i="1" s="1"/>
  <c r="Q76" i="1"/>
  <c r="Q75" i="1"/>
  <c r="F75" i="1" s="1"/>
  <c r="Q74" i="1"/>
  <c r="Q73" i="1"/>
  <c r="Q72" i="1"/>
  <c r="Q71" i="1"/>
  <c r="F71" i="1" s="1"/>
  <c r="Q70" i="1"/>
  <c r="F70" i="1" s="1"/>
  <c r="Q69" i="1"/>
  <c r="F69" i="1" s="1"/>
  <c r="Q68" i="1"/>
  <c r="Q67" i="1"/>
  <c r="F67" i="1" s="1"/>
  <c r="Q66" i="1"/>
  <c r="Q65" i="1"/>
  <c r="Q64" i="1"/>
  <c r="Q63" i="1"/>
  <c r="F63" i="1" s="1"/>
  <c r="Q62" i="1"/>
  <c r="F62" i="1" s="1"/>
  <c r="Q61" i="1"/>
  <c r="F61" i="1" s="1"/>
  <c r="Q60" i="1"/>
  <c r="F60" i="1" s="1"/>
  <c r="Q59" i="1"/>
  <c r="F59" i="1" s="1"/>
  <c r="Q58" i="1"/>
  <c r="Q57" i="1"/>
  <c r="Q56" i="1"/>
  <c r="Q55" i="1"/>
  <c r="F55" i="1" s="1"/>
  <c r="Q54" i="1"/>
  <c r="F54" i="1" s="1"/>
  <c r="Q53" i="1"/>
  <c r="F53" i="1" s="1"/>
  <c r="Q52" i="1"/>
  <c r="F52" i="1" s="1"/>
  <c r="Q51" i="1"/>
  <c r="F51" i="1" s="1"/>
  <c r="Q50" i="1"/>
  <c r="Q49" i="1"/>
  <c r="Q48" i="1"/>
  <c r="Q47" i="1"/>
  <c r="F47" i="1" s="1"/>
  <c r="Q46" i="1"/>
  <c r="F46" i="1" s="1"/>
  <c r="Q45" i="1"/>
  <c r="F45" i="1" s="1"/>
  <c r="Q44" i="1"/>
  <c r="F44" i="1" s="1"/>
  <c r="Q43" i="1"/>
  <c r="F43" i="1" s="1"/>
  <c r="Q42" i="1"/>
  <c r="Q41" i="1"/>
  <c r="Q40" i="1"/>
  <c r="Q39" i="1"/>
  <c r="F39" i="1" s="1"/>
  <c r="Q38" i="1"/>
  <c r="F38" i="1" s="1"/>
  <c r="Q37" i="1"/>
  <c r="F37" i="1" s="1"/>
  <c r="Q36" i="1"/>
  <c r="F36" i="1" s="1"/>
  <c r="Q35" i="1"/>
  <c r="F35" i="1" s="1"/>
  <c r="Q34" i="1"/>
  <c r="Q33" i="1"/>
  <c r="Q32" i="1"/>
  <c r="Q31" i="1"/>
  <c r="F31" i="1" s="1"/>
  <c r="Q30" i="1"/>
  <c r="F30" i="1" s="1"/>
  <c r="Q29" i="1"/>
  <c r="Q28" i="1"/>
  <c r="F28" i="1" s="1"/>
  <c r="Q27" i="1"/>
  <c r="F27" i="1" s="1"/>
  <c r="Q26" i="1"/>
  <c r="Q25" i="1"/>
  <c r="Q24" i="1"/>
  <c r="Q23" i="1"/>
  <c r="F23" i="1" s="1"/>
  <c r="Q22" i="1"/>
  <c r="F22" i="1" s="1"/>
  <c r="Q21" i="1"/>
  <c r="F21" i="1" s="1"/>
  <c r="Q20" i="1"/>
  <c r="F20" i="1" s="1"/>
  <c r="Q19" i="1"/>
  <c r="F19" i="1" s="1"/>
  <c r="Q18" i="1"/>
  <c r="Q17" i="1"/>
  <c r="Q16" i="1"/>
  <c r="Q15" i="1"/>
  <c r="F15" i="1" s="1"/>
  <c r="Q14" i="1"/>
  <c r="F14" i="1" s="1"/>
  <c r="Q13" i="1"/>
  <c r="F13" i="1" s="1"/>
  <c r="Q12" i="1"/>
  <c r="F12" i="1" s="1"/>
  <c r="Q11" i="1"/>
  <c r="F11" i="1" s="1"/>
  <c r="Q10" i="1"/>
  <c r="Q9" i="1"/>
  <c r="Q8" i="1"/>
  <c r="Q7" i="1"/>
  <c r="F7" i="1" s="1"/>
  <c r="Q6" i="1"/>
  <c r="F6" i="1" s="1"/>
  <c r="Q5" i="1"/>
  <c r="F5" i="1" s="1"/>
  <c r="Q4" i="1"/>
  <c r="F4" i="1" s="1"/>
  <c r="Q3" i="1"/>
  <c r="F3" i="1" s="1"/>
  <c r="Q2" i="1"/>
  <c r="F68" i="1" l="1"/>
  <c r="F76" i="1"/>
  <c r="F84" i="1"/>
  <c r="F92" i="1"/>
  <c r="F100" i="1"/>
  <c r="F108" i="1"/>
  <c r="F116" i="1"/>
  <c r="F124" i="1"/>
  <c r="F132" i="1"/>
  <c r="F119" i="1"/>
  <c r="F127" i="1"/>
  <c r="F135" i="1"/>
  <c r="F143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9" i="1"/>
  <c r="F17" i="1"/>
  <c r="F25" i="1"/>
  <c r="F33" i="1"/>
  <c r="F41" i="1"/>
  <c r="F49" i="1"/>
  <c r="F57" i="1"/>
  <c r="F65" i="1"/>
  <c r="F73" i="1"/>
  <c r="F81" i="1"/>
  <c r="F140" i="1"/>
  <c r="F148" i="1"/>
  <c r="F156" i="1"/>
  <c r="F151" i="1"/>
  <c r="F159" i="1"/>
  <c r="F89" i="1"/>
  <c r="F97" i="1"/>
  <c r="F105" i="1"/>
  <c r="F113" i="1"/>
  <c r="F121" i="1"/>
  <c r="F129" i="1"/>
  <c r="F137" i="1"/>
  <c r="F145" i="1"/>
  <c r="F153" i="1"/>
  <c r="F161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</calcChain>
</file>

<file path=xl/sharedStrings.xml><?xml version="1.0" encoding="utf-8"?>
<sst xmlns="http://schemas.openxmlformats.org/spreadsheetml/2006/main" count="188" uniqueCount="188">
  <si>
    <t>BFS</t>
  </si>
  <si>
    <t>Gemeinde</t>
  </si>
  <si>
    <t>Steuerfuss</t>
  </si>
  <si>
    <t>Bevölkerung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</si>
  <si>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</si>
  <si>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</si>
  <si>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</si>
  <si>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</si>
  <si>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</si>
  <si>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</si>
  <si>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</si>
  <si>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</si>
  <si>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</si>
  <si>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</si>
  <si>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</si>
  <si>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</si>
  <si>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</si>
  <si>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</si>
  <si>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</si>
  <si>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</si>
  <si>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</si>
  <si>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</si>
  <si>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</si>
  <si>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</si>
  <si>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</si>
  <si>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</si>
  <si>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</si>
  <si>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</si>
  <si>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</si>
  <si>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</si>
  <si>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</si>
  <si>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</si>
  <si>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</si>
  <si>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</si>
  <si>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</si>
  <si>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a.d.Th.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</si>
  <si>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</si>
  <si>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</si>
  <si>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</si>
  <si>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</si>
  <si>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</si>
  <si>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</si>
  <si>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</si>
  <si>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</si>
  <si>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</si>
  <si>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</si>
  <si>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</si>
  <si>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</si>
  <si>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</si>
  <si>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</si>
  <si>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</si>
  <si>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</si>
  <si>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</si>
  <si>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</si>
  <si>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</si>
  <si>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</si>
  <si>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</si>
  <si>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</si>
  <si>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</si>
  <si>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</si>
  <si>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</si>
  <si>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</si>
  <si>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</si>
  <si>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</si>
  <si>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</si>
  <si>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</si>
  <si>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</si>
  <si>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</si>
  <si>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</si>
  <si>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</si>
  <si>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</si>
  <si>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</si>
  <si>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</si>
  <si>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</si>
  <si>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</si>
  <si>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</si>
  <si>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</si>
  <si>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</si>
  <si>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</si>
  <si>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</si>
  <si>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</si>
  <si>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</si>
  <si>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</si>
  <si>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</si>
  <si>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</si>
  <si>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</si>
  <si>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</si>
  <si>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</si>
  <si>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</si>
  <si>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</si>
  <si>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</si>
  <si>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</si>
  <si>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</si>
  <si>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</si>
  <si>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</si>
  <si>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Kilchberg</t>
  </si>
  <si>
    <t>Langnau a.A.</t>
  </si>
  <si>
    <t>Oberrieden</t>
  </si>
  <si>
    <t>Richterswil</t>
  </si>
  <si>
    <t>Rüschlikon</t>
  </si>
  <si>
    <t>Thalwil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</si>
  <si>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</si>
  <si>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</si>
  <si>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</si>
  <si>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</si>
  <si>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</si>
  <si>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</si>
  <si>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</si>
  <si>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</si>
  <si>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</si>
  <si>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</si>
  <si>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</si>
  <si>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</si>
  <si>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</si>
  <si>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</si>
  <si>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</si>
  <si>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</si>
  <si>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</si>
  <si>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</si>
  <si>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</si>
  <si>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</si>
  <si>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</si>
  <si>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</si>
  <si>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</si>
  <si>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</si>
  <si>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</si>
  <si>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</si>
  <si>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</si>
  <si>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</si>
  <si>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</si>
  <si>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</si>
  <si>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</si>
  <si>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</si>
  <si>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</si>
  <si>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</si>
  <si>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a.d.Th.</t>
  </si>
  <si>
    <t>Elsau</t>
  </si>
  <si>
    <t>Hagenbuch</t>
  </si>
  <si>
    <t>Hettlingen</t>
  </si>
  <si>
    <t>Neftenbach</t>
  </si>
  <si>
    <t>Pfungen</t>
  </si>
  <si>
    <t>Rickenbach</t>
  </si>
  <si>
    <t>Schlatt</t>
  </si>
  <si>
    <t>Seuzach</t>
  </si>
  <si>
    <t>Turbenthal</t>
  </si>
  <si>
    <t>Winterthur</t>
  </si>
  <si>
    <t>Zell</t>
  </si>
  <si>
    <t>Aesch</t>
  </si>
  <si>
    <t>Birmensdorf</t>
  </si>
  <si>
    <t>Dietikon</t>
  </si>
  <si>
    <t>Geroldswil</t>
  </si>
  <si>
    <t>Oberengstringen</t>
  </si>
  <si>
    <t>Oetwil a.d.L.</t>
  </si>
  <si>
    <t>Schlieren</t>
  </si>
  <si>
    <t>Uitikon</t>
  </si>
  <si>
    <t>Unterengstringen</t>
  </si>
  <si>
    <t>Urdorf</t>
  </si>
  <si>
    <t>Weiningen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</si>
  <si>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</si>
  <si>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</si>
  <si>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</si>
  <si>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</si>
  <si>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</si>
  <si>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</si>
  <si>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</si>
  <si>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</si>
  <si>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Brennbare Abfälle und Sperrgut</t>
  </si>
  <si>
    <t>Biogene Abfälle</t>
  </si>
  <si>
    <t>Papier</t>
  </si>
  <si>
    <t>Karton</t>
  </si>
  <si>
    <t>Papier + Karton falls nicht separat angegeben</t>
  </si>
  <si>
    <t>Summe aller Papiere und Karton</t>
  </si>
  <si>
    <t>Glas</t>
  </si>
  <si>
    <t>Metalle</t>
  </si>
  <si>
    <t>Altöl</t>
  </si>
  <si>
    <t>Grubengut</t>
  </si>
  <si>
    <t>Total Abfall</t>
  </si>
  <si>
    <t>Total Abfall pro Kopf</t>
  </si>
  <si>
    <t>Brennbare Abfälle und Sperrgut pro Kopf</t>
  </si>
  <si>
    <t>Biogene Abfälle pro Kopf</t>
  </si>
  <si>
    <t>Papier pro Kopf</t>
  </si>
  <si>
    <t>Karton pro Kopf</t>
  </si>
  <si>
    <t>Papier + Karton pro Kopf</t>
  </si>
  <si>
    <t>Summe aller Papier und Karton pro Kopf</t>
  </si>
  <si>
    <t>Glas pro Kopf</t>
  </si>
  <si>
    <t>Metalle pro Kopf</t>
  </si>
  <si>
    <t>Altöl pro Kopf</t>
  </si>
  <si>
    <t>Grubengut pro 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</si>
</sst>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 * #,##0.00_ ;_ * \-#,##0.00_ ;_ * &quot;-&quot;??_ ;_ @_ "/>
    <numFmt numFmtId="169" formatCode="_ * #,##0_ ;_ * \-#,##0_ ;_ * &quot;-&quot;??_ ;_ @_ 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3" fillId="0" borderId="0" xfId="0" applyFont="1"/>
    <xf numFmtId="169" fontId="3" fillId="0" borderId="0" xfId="0" applyNumberFormat="1" applyFont="1"/>
    <xf numFmtId="0" fontId="4" fillId="0" borderId="0" xfId="0" applyFont="1"/>
    <xf numFmtId="169" fontId="5" fillId="0" borderId="0" xfId="1" applyNumberFormat="1" applyFont="1" applyFill="1" applyBorder="1" applyAlignment="1">
      <alignment horizontal="center" textRotation="90"/>
    </xf>
    <xf numFmtId="169" fontId="5" fillId="0" borderId="0" xfId="1" applyNumberFormat="1" applyFont="1" applyBorder="1"/>
    <xf numFmtId="169" fontId="5" fillId="0" borderId="0" xfId="1" applyNumberFormat="1" applyFont="1" applyBorder="1" applyAlignment="1">
      <alignment horizontal="right"/>
    </xf>
    <xf numFmtId="168" fontId="3" fillId="0" borderId="0" xfId="0" applyNumberFormat="1" applyFont="1"/>
    <xf numFmtId="168" fontId="6" fillId="0" borderId="0" xfId="1" applyNumberFormat="1" applyFont="1" applyFill="1" applyBorder="1" applyAlignment="1">
      <alignment horizontal="center" textRotation="90"/>
    </xf>
    <xf numFmtId="168" fontId="5" fillId="0" borderId="0" xfId="1" applyNumberFormat="1" applyFont="1" applyBorder="1"/>
    <xf numFmtId="168" fontId="5" fillId="0" borderId="0" xfId="1" applyNumberFormat="1" applyFont="1" applyBorder="1" applyAlignment="1">
      <alignment horizontal="right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FD64-A461-374A-9D95-C8B26747E87F}">
  <dimension ref="A1:Z163"/>
  <sheetViews>
    <sheetView tabSelected="1" workbookViewId="0">
      <selection activeCell="F30" sqref="F30"/>
    </sheetView>
  </sheetViews>
  <sheetFormatPr baseColWidth="10" defaultRowHeight="16" x14ac:dyDescent="0.2"/>
  <cols>
    <col min="1" max="1" width="10.83203125" style="3"/>
    <col min="2" max="2" width="28.5" style="3" customWidth="1"/>
    <col min="3" max="3" width="10.83203125" style="3"/>
    <col min="4" max="4" width="14.5" style="3" customWidth="1"/>
    <col min="5" max="5" width="14.6640625" style="3" customWidth="1"/>
    <col min="6" max="6" width="22.5" style="3" customWidth="1"/>
    <col min="7" max="7" width="13.33203125" style="3" customWidth="1"/>
    <col min="8" max="8" width="13.33203125" style="9" customWidth="1"/>
    <col min="9" max="9" width="10.83203125" style="3"/>
    <col min="10" max="10" width="10.83203125" style="9"/>
    <col min="11" max="11" width="10.83203125" style="3"/>
    <col min="12" max="12" width="10.83203125" style="9"/>
    <col min="13" max="13" width="10.83203125" style="3"/>
    <col min="14" max="14" width="10.83203125" style="9"/>
    <col min="15" max="15" width="10.83203125" style="3"/>
    <col min="16" max="16" width="10.83203125" style="9"/>
    <col min="17" max="17" width="10.83203125" style="3"/>
    <col min="18" max="18" width="10.83203125" style="9"/>
    <col min="19" max="19" width="10.83203125" style="3"/>
    <col min="20" max="20" width="10.83203125" style="9"/>
    <col min="21" max="21" width="10.83203125" style="3"/>
    <col min="22" max="22" width="10.83203125" style="9"/>
    <col min="23" max="23" width="10.83203125" style="3"/>
    <col min="24" max="24" width="10.83203125" style="9"/>
    <col min="25" max="25" width="10.83203125" style="3"/>
    <col min="26" max="26" width="10.83203125" style="9"/>
    <col min="27" max="16384" width="10.83203125" style="3"/>
  </cols>
  <sheetData>
    <row r="1" spans="1:26" ht="249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176</v>
      </c>
      <c r="F1" s="2" t="s">
        <v>177</v>
      </c>
      <c r="G1" s="6" t="s">
        <v>166</v>
      </c>
      <c r="H1" s="10" t="s">
        <v>178</v>
      </c>
      <c r="I1" s="6" t="s">
        <v>167</v>
      </c>
      <c r="J1" s="10" t="s">
        <v>179</v>
      </c>
      <c r="K1" s="6" t="s">
        <v>168</v>
      </c>
      <c r="L1" s="10" t="s">
        <v>180</v>
      </c>
      <c r="M1" s="6" t="s">
        <v>169</v>
      </c>
      <c r="N1" s="10" t="s">
        <v>181</v>
      </c>
      <c r="O1" s="6" t="s">
        <v>170</v>
      </c>
      <c r="P1" s="10" t="s">
        <v>182</v>
      </c>
      <c r="Q1" s="6" t="s">
        <v>171</v>
      </c>
      <c r="R1" s="10" t="s">
        <v>183</v>
      </c>
      <c r="S1" s="6" t="s">
        <v>172</v>
      </c>
      <c r="T1" s="10" t="s">
        <v>184</v>
      </c>
      <c r="U1" s="6" t="s">
        <v>173</v>
      </c>
      <c r="V1" s="10" t="s">
        <v>185</v>
      </c>
      <c r="W1" s="6" t="s">
        <v>174</v>
      </c>
      <c r="X1" s="10" t="s">
        <v>186</v>
      </c>
      <c r="Y1" s="6" t="s">
        <v>175</v>
      </c>
      <c r="Z1" s="10" t="s">
        <v>187</v>
      </c>
    </row>
    <row r="2" spans="1:26" x14ac:dyDescent="0.2">
      <c r="A2" s="3">
        <v>1</v>
      </c>
      <c r="B2" s="3" t="s">
        <v>4</v>
      </c>
      <c r="C2" s="3">
        <v>95</v>
      </c>
      <c r="D2" s="3">
        <v>2011</v>
      </c>
      <c r="E2" s="4">
        <f>SUM(Q2:Y2,G2:J2)</f>
        <v>922.45847836897065</v>
      </c>
      <c r="F2" s="9">
        <f>E2/D2</f>
        <v>0.45870635423618628</v>
      </c>
      <c r="G2" s="7">
        <v>319</v>
      </c>
      <c r="H2" s="11">
        <f>G2/D2</f>
        <v>0.15862754848334162</v>
      </c>
      <c r="I2" s="7">
        <v>359</v>
      </c>
      <c r="J2" s="11">
        <f>I2/D2</f>
        <v>0.17851815017404277</v>
      </c>
      <c r="K2" s="7">
        <v>88</v>
      </c>
      <c r="L2" s="11">
        <f>K2/D2</f>
        <v>4.3759323719542519E-2</v>
      </c>
      <c r="M2" s="7">
        <v>50</v>
      </c>
      <c r="N2" s="11">
        <f>M2/D2</f>
        <v>2.4863252113376429E-2</v>
      </c>
      <c r="O2" s="7"/>
      <c r="P2" s="11">
        <f>O2/D2</f>
        <v>0</v>
      </c>
      <c r="Q2" s="8">
        <f t="shared" ref="Q2:Q65" si="0">O2+M2+K2</f>
        <v>138</v>
      </c>
      <c r="R2" s="12">
        <f>Q2/D2</f>
        <v>6.8622575832918947E-2</v>
      </c>
      <c r="S2" s="7">
        <v>89</v>
      </c>
      <c r="T2" s="11">
        <f>S2/D2</f>
        <v>4.4256588761810045E-2</v>
      </c>
      <c r="U2" s="7">
        <v>15</v>
      </c>
      <c r="V2" s="11">
        <f>U2/D2</f>
        <v>7.4589756340129286E-3</v>
      </c>
      <c r="W2" s="7">
        <v>2</v>
      </c>
      <c r="X2" s="11">
        <f>W2/D2</f>
        <v>9.945300845350571E-4</v>
      </c>
      <c r="Y2" s="7"/>
      <c r="Z2" s="9">
        <f>Y2/D2</f>
        <v>0</v>
      </c>
    </row>
    <row r="3" spans="1:26" x14ac:dyDescent="0.2">
      <c r="A3" s="3">
        <v>2</v>
      </c>
      <c r="B3" s="3" t="s">
        <v>5</v>
      </c>
      <c r="C3" s="3">
        <v>124</v>
      </c>
      <c r="D3" s="3">
        <v>12246</v>
      </c>
      <c r="E3" s="4">
        <f t="shared" ref="E3:E66" si="1">SUM(Q3:Y3,G3:J3)</f>
        <v>5675.4563122652298</v>
      </c>
      <c r="F3" s="9">
        <f t="shared" ref="F3:F66" si="2">E3/D3</f>
        <v>0.46345388798507509</v>
      </c>
      <c r="G3" s="7">
        <v>2200</v>
      </c>
      <c r="H3" s="11">
        <f t="shared" ref="H3:H66" si="3">G3/D3</f>
        <v>0.1796504981218357</v>
      </c>
      <c r="I3" s="7">
        <v>1473</v>
      </c>
      <c r="J3" s="11">
        <f t="shared" ref="J3:J66" si="4">I3/D3</f>
        <v>0.12028417442430181</v>
      </c>
      <c r="K3" s="7">
        <v>789</v>
      </c>
      <c r="L3" s="11">
        <f t="shared" ref="L3:L66" si="5">K3/D3</f>
        <v>6.4429201371876535E-2</v>
      </c>
      <c r="M3" s="7">
        <v>515</v>
      </c>
      <c r="N3" s="11">
        <f t="shared" ref="N3:N66" si="6">M3/D3</f>
        <v>4.2054548423975179E-2</v>
      </c>
      <c r="O3" s="7"/>
      <c r="P3" s="11">
        <f t="shared" ref="P3:P66" si="7">O3/D3</f>
        <v>0</v>
      </c>
      <c r="Q3" s="8">
        <f t="shared" si="0"/>
        <v>1304</v>
      </c>
      <c r="R3" s="12">
        <f t="shared" ref="R3:R66" si="8">Q3/D3</f>
        <v>0.10648374979585171</v>
      </c>
      <c r="S3" s="7">
        <v>499</v>
      </c>
      <c r="T3" s="11">
        <f t="shared" ref="T3:T66" si="9">S3/D3</f>
        <v>4.0747999346725461E-2</v>
      </c>
      <c r="U3" s="7">
        <v>106</v>
      </c>
      <c r="V3" s="11">
        <f t="shared" ref="V3:V66" si="10">U3/D3</f>
        <v>8.6558876367793559E-3</v>
      </c>
      <c r="W3" s="7">
        <v>6</v>
      </c>
      <c r="X3" s="11">
        <f t="shared" ref="X3:X66" si="11">W3/D3</f>
        <v>4.8995590396864281E-4</v>
      </c>
      <c r="Y3" s="7">
        <v>87</v>
      </c>
      <c r="Z3" s="9">
        <f t="shared" ref="Z3:Z66" si="12">Y3/D3</f>
        <v>7.104360607545321E-3</v>
      </c>
    </row>
    <row r="4" spans="1:26" x14ac:dyDescent="0.2">
      <c r="A4" s="3">
        <v>3</v>
      </c>
      <c r="B4" s="3" t="s">
        <v>6</v>
      </c>
      <c r="C4" s="3">
        <v>109</v>
      </c>
      <c r="D4" s="3">
        <v>5610</v>
      </c>
      <c r="E4" s="4">
        <f t="shared" si="1"/>
        <v>1936.3449197860964</v>
      </c>
      <c r="F4" s="9">
        <f t="shared" si="2"/>
        <v>0.34515952224351093</v>
      </c>
      <c r="G4" s="7">
        <v>771</v>
      </c>
      <c r="H4" s="11">
        <f t="shared" si="3"/>
        <v>0.13743315508021389</v>
      </c>
      <c r="I4" s="7">
        <v>740</v>
      </c>
      <c r="J4" s="11">
        <f t="shared" si="4"/>
        <v>0.1319073083778966</v>
      </c>
      <c r="K4" s="7">
        <v>183</v>
      </c>
      <c r="L4" s="11">
        <f t="shared" si="5"/>
        <v>3.2620320855614976E-2</v>
      </c>
      <c r="M4" s="7">
        <v>70</v>
      </c>
      <c r="N4" s="11">
        <f t="shared" si="6"/>
        <v>1.2477718360071301E-2</v>
      </c>
      <c r="O4" s="7"/>
      <c r="P4" s="11">
        <f t="shared" si="7"/>
        <v>0</v>
      </c>
      <c r="Q4" s="8">
        <f t="shared" si="0"/>
        <v>253</v>
      </c>
      <c r="R4" s="12">
        <f t="shared" si="8"/>
        <v>4.5098039215686274E-2</v>
      </c>
      <c r="S4" s="7">
        <v>161</v>
      </c>
      <c r="T4" s="11">
        <f t="shared" si="9"/>
        <v>2.8698752228163992E-2</v>
      </c>
      <c r="U4" s="7">
        <v>8</v>
      </c>
      <c r="V4" s="11">
        <f t="shared" si="10"/>
        <v>1.4260249554367201E-3</v>
      </c>
      <c r="W4" s="7">
        <v>2</v>
      </c>
      <c r="X4" s="11">
        <f t="shared" si="11"/>
        <v>3.5650623885918003E-4</v>
      </c>
      <c r="Y4" s="7">
        <v>1</v>
      </c>
      <c r="Z4" s="9">
        <f t="shared" si="12"/>
        <v>1.7825311942959001E-4</v>
      </c>
    </row>
    <row r="5" spans="1:26" x14ac:dyDescent="0.2">
      <c r="A5" s="3">
        <v>4</v>
      </c>
      <c r="B5" s="3" t="s">
        <v>7</v>
      </c>
      <c r="C5" s="3">
        <v>112</v>
      </c>
      <c r="D5" s="3">
        <v>3797</v>
      </c>
      <c r="E5" s="4">
        <f t="shared" si="1"/>
        <v>1428.3742428232815</v>
      </c>
      <c r="F5" s="9">
        <f t="shared" si="2"/>
        <v>0.37618494675356373</v>
      </c>
      <c r="G5" s="7">
        <v>562</v>
      </c>
      <c r="H5" s="11">
        <f t="shared" si="3"/>
        <v>0.14801158809586515</v>
      </c>
      <c r="I5" s="7">
        <v>578</v>
      </c>
      <c r="J5" s="11">
        <f t="shared" si="4"/>
        <v>0.15222544113774031</v>
      </c>
      <c r="K5" s="7">
        <v>125</v>
      </c>
      <c r="L5" s="11">
        <f t="shared" si="5"/>
        <v>3.2920726889649726E-2</v>
      </c>
      <c r="M5" s="7">
        <v>38</v>
      </c>
      <c r="N5" s="11">
        <f t="shared" si="6"/>
        <v>1.0007900974453516E-2</v>
      </c>
      <c r="O5" s="7"/>
      <c r="P5" s="11">
        <f t="shared" si="7"/>
        <v>0</v>
      </c>
      <c r="Q5" s="8">
        <f t="shared" si="0"/>
        <v>163</v>
      </c>
      <c r="R5" s="12">
        <f t="shared" si="8"/>
        <v>4.2928627864103237E-2</v>
      </c>
      <c r="S5" s="7">
        <v>106</v>
      </c>
      <c r="T5" s="11">
        <f t="shared" si="9"/>
        <v>2.7916776402422964E-2</v>
      </c>
      <c r="U5" s="7">
        <v>10</v>
      </c>
      <c r="V5" s="11">
        <f t="shared" si="10"/>
        <v>2.6336581511719778E-3</v>
      </c>
      <c r="W5" s="7">
        <v>2</v>
      </c>
      <c r="X5" s="11">
        <f t="shared" si="11"/>
        <v>5.267316302343956E-4</v>
      </c>
      <c r="Y5" s="7">
        <v>7</v>
      </c>
      <c r="Z5" s="9">
        <f t="shared" si="12"/>
        <v>1.8435607058203845E-3</v>
      </c>
    </row>
    <row r="6" spans="1:26" x14ac:dyDescent="0.2">
      <c r="A6" s="3">
        <v>5</v>
      </c>
      <c r="B6" s="3" t="s">
        <v>8</v>
      </c>
      <c r="C6" s="3">
        <v>105</v>
      </c>
      <c r="D6" s="3">
        <v>3793</v>
      </c>
      <c r="E6" s="4">
        <f t="shared" si="1"/>
        <v>1280.3279725810705</v>
      </c>
      <c r="F6" s="9">
        <f t="shared" si="2"/>
        <v>0.33755021686819681</v>
      </c>
      <c r="G6" s="7">
        <v>386</v>
      </c>
      <c r="H6" s="11">
        <f t="shared" si="3"/>
        <v>0.10176641181123122</v>
      </c>
      <c r="I6" s="7">
        <v>583</v>
      </c>
      <c r="J6" s="11">
        <f t="shared" si="4"/>
        <v>0.15370419193250726</v>
      </c>
      <c r="K6" s="7">
        <v>130</v>
      </c>
      <c r="L6" s="11">
        <f t="shared" si="5"/>
        <v>3.4273662008963882E-2</v>
      </c>
      <c r="M6" s="7">
        <v>44</v>
      </c>
      <c r="N6" s="11">
        <f t="shared" si="6"/>
        <v>1.1600316372264698E-2</v>
      </c>
      <c r="O6" s="7"/>
      <c r="P6" s="11">
        <f t="shared" si="7"/>
        <v>0</v>
      </c>
      <c r="Q6" s="8">
        <f t="shared" si="0"/>
        <v>174</v>
      </c>
      <c r="R6" s="12">
        <f t="shared" si="8"/>
        <v>4.5873978381228579E-2</v>
      </c>
      <c r="S6" s="7">
        <v>79</v>
      </c>
      <c r="T6" s="11">
        <f t="shared" si="9"/>
        <v>2.0827840759293434E-2</v>
      </c>
      <c r="U6" s="7">
        <v>21</v>
      </c>
      <c r="V6" s="11">
        <f t="shared" si="10"/>
        <v>5.5365146322172423E-3</v>
      </c>
      <c r="W6" s="7">
        <v>1</v>
      </c>
      <c r="X6" s="11">
        <f t="shared" si="11"/>
        <v>2.636435539151068E-4</v>
      </c>
      <c r="Y6" s="7">
        <v>36</v>
      </c>
      <c r="Z6" s="9">
        <f t="shared" si="12"/>
        <v>9.4911679409438437E-3</v>
      </c>
    </row>
    <row r="7" spans="1:26" x14ac:dyDescent="0.2">
      <c r="A7" s="3">
        <v>6</v>
      </c>
      <c r="B7" s="3" t="s">
        <v>9</v>
      </c>
      <c r="C7" s="3">
        <v>102</v>
      </c>
      <c r="D7" s="3">
        <v>1244</v>
      </c>
      <c r="E7" s="4">
        <f t="shared" si="1"/>
        <v>490.3922829581993</v>
      </c>
      <c r="F7" s="9">
        <f t="shared" si="2"/>
        <v>0.39420601523971005</v>
      </c>
      <c r="G7" s="7">
        <v>212</v>
      </c>
      <c r="H7" s="11">
        <f t="shared" si="3"/>
        <v>0.17041800643086816</v>
      </c>
      <c r="I7" s="7">
        <v>209</v>
      </c>
      <c r="J7" s="11">
        <f t="shared" si="4"/>
        <v>0.16800643086816719</v>
      </c>
      <c r="K7" s="7">
        <v>17</v>
      </c>
      <c r="L7" s="11">
        <f t="shared" si="5"/>
        <v>1.3665594855305467E-2</v>
      </c>
      <c r="M7" s="7">
        <v>8</v>
      </c>
      <c r="N7" s="11">
        <f t="shared" si="6"/>
        <v>6.4308681672025723E-3</v>
      </c>
      <c r="O7" s="7"/>
      <c r="P7" s="11">
        <f t="shared" si="7"/>
        <v>0</v>
      </c>
      <c r="Q7" s="8">
        <f t="shared" si="0"/>
        <v>25</v>
      </c>
      <c r="R7" s="12">
        <f t="shared" si="8"/>
        <v>2.0096463022508039E-2</v>
      </c>
      <c r="S7" s="7">
        <v>36</v>
      </c>
      <c r="T7" s="11">
        <f t="shared" si="9"/>
        <v>2.8938906752411574E-2</v>
      </c>
      <c r="U7" s="7">
        <v>5</v>
      </c>
      <c r="V7" s="11">
        <f t="shared" si="10"/>
        <v>4.0192926045016075E-3</v>
      </c>
      <c r="W7" s="7">
        <v>1</v>
      </c>
      <c r="X7" s="11">
        <f t="shared" si="11"/>
        <v>8.0385852090032153E-4</v>
      </c>
      <c r="Y7" s="7">
        <v>2</v>
      </c>
      <c r="Z7" s="9">
        <f t="shared" si="12"/>
        <v>1.6077170418006431E-3</v>
      </c>
    </row>
    <row r="8" spans="1:26" x14ac:dyDescent="0.2">
      <c r="A8" s="3">
        <v>7</v>
      </c>
      <c r="B8" s="3" t="s">
        <v>10</v>
      </c>
      <c r="C8" s="3">
        <v>112</v>
      </c>
      <c r="D8" s="3">
        <v>2368</v>
      </c>
      <c r="E8" s="4">
        <f t="shared" si="1"/>
        <v>607.25633445945948</v>
      </c>
      <c r="F8" s="9">
        <f t="shared" si="2"/>
        <v>0.25644270880889336</v>
      </c>
      <c r="G8" s="7">
        <v>392</v>
      </c>
      <c r="H8" s="11">
        <f t="shared" si="3"/>
        <v>0.16554054054054054</v>
      </c>
      <c r="I8" s="7"/>
      <c r="J8" s="11">
        <f t="shared" si="4"/>
        <v>0</v>
      </c>
      <c r="K8" s="7">
        <v>92</v>
      </c>
      <c r="L8" s="11">
        <f t="shared" si="5"/>
        <v>3.885135135135135E-2</v>
      </c>
      <c r="M8" s="7">
        <v>40</v>
      </c>
      <c r="N8" s="11">
        <f t="shared" si="6"/>
        <v>1.6891891891891893E-2</v>
      </c>
      <c r="O8" s="7"/>
      <c r="P8" s="11">
        <f t="shared" si="7"/>
        <v>0</v>
      </c>
      <c r="Q8" s="8">
        <f t="shared" si="0"/>
        <v>132</v>
      </c>
      <c r="R8" s="12">
        <f t="shared" si="8"/>
        <v>5.5743243243243243E-2</v>
      </c>
      <c r="S8" s="7">
        <v>60</v>
      </c>
      <c r="T8" s="11">
        <f t="shared" si="9"/>
        <v>2.5337837837837839E-2</v>
      </c>
      <c r="U8" s="7">
        <v>22</v>
      </c>
      <c r="V8" s="11">
        <f t="shared" si="10"/>
        <v>9.2905405405405411E-3</v>
      </c>
      <c r="W8" s="7">
        <v>1</v>
      </c>
      <c r="X8" s="11">
        <f t="shared" si="11"/>
        <v>4.2229729729729732E-4</v>
      </c>
      <c r="Y8" s="7"/>
      <c r="Z8" s="9">
        <f t="shared" si="12"/>
        <v>0</v>
      </c>
    </row>
    <row r="9" spans="1:26" x14ac:dyDescent="0.2">
      <c r="A9" s="3">
        <v>8</v>
      </c>
      <c r="B9" s="3" t="s">
        <v>11</v>
      </c>
      <c r="C9" s="3">
        <v>130</v>
      </c>
      <c r="D9" s="3">
        <v>636</v>
      </c>
      <c r="E9" s="4">
        <f t="shared" si="1"/>
        <v>240.37735849056605</v>
      </c>
      <c r="F9" s="9">
        <f t="shared" si="2"/>
        <v>0.37795182152604723</v>
      </c>
      <c r="G9" s="7">
        <v>104</v>
      </c>
      <c r="H9" s="11">
        <f t="shared" si="3"/>
        <v>0.16352201257861634</v>
      </c>
      <c r="I9" s="7">
        <v>97</v>
      </c>
      <c r="J9" s="11">
        <f t="shared" si="4"/>
        <v>0.15251572327044025</v>
      </c>
      <c r="K9" s="7">
        <v>15</v>
      </c>
      <c r="L9" s="11">
        <f t="shared" si="5"/>
        <v>2.358490566037736E-2</v>
      </c>
      <c r="M9" s="7">
        <v>5</v>
      </c>
      <c r="N9" s="11">
        <f t="shared" si="6"/>
        <v>7.8616352201257862E-3</v>
      </c>
      <c r="O9" s="7">
        <v>0</v>
      </c>
      <c r="P9" s="11">
        <f t="shared" si="7"/>
        <v>0</v>
      </c>
      <c r="Q9" s="8">
        <f t="shared" si="0"/>
        <v>20</v>
      </c>
      <c r="R9" s="12">
        <f t="shared" si="8"/>
        <v>3.1446540880503145E-2</v>
      </c>
      <c r="S9" s="7">
        <v>18</v>
      </c>
      <c r="T9" s="11">
        <f t="shared" si="9"/>
        <v>2.8301886792452831E-2</v>
      </c>
      <c r="U9" s="7">
        <v>1</v>
      </c>
      <c r="V9" s="11">
        <f t="shared" si="10"/>
        <v>1.5723270440251573E-3</v>
      </c>
      <c r="W9" s="7"/>
      <c r="X9" s="11">
        <f t="shared" si="11"/>
        <v>0</v>
      </c>
      <c r="Y9" s="7"/>
      <c r="Z9" s="9">
        <f t="shared" si="12"/>
        <v>0</v>
      </c>
    </row>
    <row r="10" spans="1:26" x14ac:dyDescent="0.2">
      <c r="A10" s="3">
        <v>9</v>
      </c>
      <c r="B10" s="3" t="s">
        <v>12</v>
      </c>
      <c r="C10" s="3">
        <v>99</v>
      </c>
      <c r="D10" s="3">
        <v>5378</v>
      </c>
      <c r="E10" s="4">
        <f t="shared" si="1"/>
        <v>1793.3333953142435</v>
      </c>
      <c r="F10" s="9">
        <f t="shared" si="2"/>
        <v>0.33345730667799245</v>
      </c>
      <c r="G10" s="7">
        <v>730</v>
      </c>
      <c r="H10" s="11">
        <f t="shared" si="3"/>
        <v>0.13573819263666789</v>
      </c>
      <c r="I10" s="7">
        <v>787</v>
      </c>
      <c r="J10" s="11">
        <f t="shared" si="4"/>
        <v>0.14633692822610636</v>
      </c>
      <c r="K10" s="7">
        <v>104</v>
      </c>
      <c r="L10" s="11">
        <f t="shared" si="5"/>
        <v>1.9338043882484196E-2</v>
      </c>
      <c r="M10" s="7">
        <v>39</v>
      </c>
      <c r="N10" s="11">
        <f t="shared" si="6"/>
        <v>7.2517664559315726E-3</v>
      </c>
      <c r="O10" s="7">
        <v>0</v>
      </c>
      <c r="P10" s="11">
        <f t="shared" si="7"/>
        <v>0</v>
      </c>
      <c r="Q10" s="8">
        <f t="shared" si="0"/>
        <v>143</v>
      </c>
      <c r="R10" s="12">
        <f t="shared" si="8"/>
        <v>2.658981033841577E-2</v>
      </c>
      <c r="S10" s="7">
        <v>125</v>
      </c>
      <c r="T10" s="11">
        <f t="shared" si="9"/>
        <v>2.3242841204908889E-2</v>
      </c>
      <c r="U10" s="7">
        <v>7</v>
      </c>
      <c r="V10" s="11">
        <f t="shared" si="10"/>
        <v>1.3015991074748978E-3</v>
      </c>
      <c r="W10" s="7">
        <v>1</v>
      </c>
      <c r="X10" s="11">
        <f t="shared" si="11"/>
        <v>1.859427296392711E-4</v>
      </c>
      <c r="Y10" s="7">
        <v>0</v>
      </c>
      <c r="Z10" s="9">
        <f t="shared" si="12"/>
        <v>0</v>
      </c>
    </row>
    <row r="11" spans="1:26" x14ac:dyDescent="0.2">
      <c r="A11" s="3">
        <v>10</v>
      </c>
      <c r="B11" s="3" t="s">
        <v>13</v>
      </c>
      <c r="C11" s="3">
        <v>121</v>
      </c>
      <c r="D11" s="3">
        <v>5778</v>
      </c>
      <c r="E11" s="4">
        <f t="shared" si="1"/>
        <v>2374.4027345102113</v>
      </c>
      <c r="F11" s="9">
        <f t="shared" si="2"/>
        <v>0.410938514106994</v>
      </c>
      <c r="G11" s="7">
        <v>876</v>
      </c>
      <c r="H11" s="11">
        <f t="shared" si="3"/>
        <v>0.15160955347871236</v>
      </c>
      <c r="I11" s="7">
        <v>1049</v>
      </c>
      <c r="J11" s="11">
        <f t="shared" si="4"/>
        <v>0.18155070958809277</v>
      </c>
      <c r="K11" s="7">
        <v>156</v>
      </c>
      <c r="L11" s="11">
        <f t="shared" si="5"/>
        <v>2.6998961578400829E-2</v>
      </c>
      <c r="M11" s="7">
        <v>56</v>
      </c>
      <c r="N11" s="11">
        <f t="shared" si="6"/>
        <v>9.6919349255797857E-3</v>
      </c>
      <c r="O11" s="7"/>
      <c r="P11" s="11">
        <f t="shared" si="7"/>
        <v>0</v>
      </c>
      <c r="Q11" s="8">
        <f t="shared" si="0"/>
        <v>212</v>
      </c>
      <c r="R11" s="12">
        <f t="shared" si="8"/>
        <v>3.6690896503980615E-2</v>
      </c>
      <c r="S11" s="7">
        <v>148</v>
      </c>
      <c r="T11" s="11">
        <f t="shared" si="9"/>
        <v>2.5614399446175148E-2</v>
      </c>
      <c r="U11" s="7">
        <v>41</v>
      </c>
      <c r="V11" s="11">
        <f t="shared" si="10"/>
        <v>7.0958809276566283E-3</v>
      </c>
      <c r="W11" s="7">
        <v>1</v>
      </c>
      <c r="X11" s="11">
        <f t="shared" si="11"/>
        <v>1.7307026652821047E-4</v>
      </c>
      <c r="Y11" s="7">
        <v>47</v>
      </c>
      <c r="Z11" s="9">
        <f t="shared" si="12"/>
        <v>8.1343025268258914E-3</v>
      </c>
    </row>
    <row r="12" spans="1:26" x14ac:dyDescent="0.2">
      <c r="A12" s="3">
        <v>11</v>
      </c>
      <c r="B12" s="3" t="s">
        <v>14</v>
      </c>
      <c r="C12" s="3">
        <v>117</v>
      </c>
      <c r="D12" s="3">
        <v>2706</v>
      </c>
      <c r="E12" s="4">
        <f t="shared" si="1"/>
        <v>1252.4626755358463</v>
      </c>
      <c r="F12" s="9">
        <f t="shared" si="2"/>
        <v>0.46284651719728243</v>
      </c>
      <c r="G12" s="7">
        <v>439</v>
      </c>
      <c r="H12" s="11">
        <f t="shared" si="3"/>
        <v>0.16223207686622321</v>
      </c>
      <c r="I12" s="7">
        <v>642</v>
      </c>
      <c r="J12" s="11">
        <f t="shared" si="4"/>
        <v>0.23725055432372505</v>
      </c>
      <c r="K12" s="7">
        <v>88</v>
      </c>
      <c r="L12" s="11">
        <f t="shared" si="5"/>
        <v>3.2520325203252036E-2</v>
      </c>
      <c r="M12" s="7">
        <v>22</v>
      </c>
      <c r="N12" s="11">
        <f t="shared" si="6"/>
        <v>8.130081300813009E-3</v>
      </c>
      <c r="O12" s="7"/>
      <c r="P12" s="11">
        <f t="shared" si="7"/>
        <v>0</v>
      </c>
      <c r="Q12" s="8">
        <f t="shared" si="0"/>
        <v>110</v>
      </c>
      <c r="R12" s="12">
        <f t="shared" si="8"/>
        <v>4.065040650406504E-2</v>
      </c>
      <c r="S12" s="7">
        <v>55</v>
      </c>
      <c r="T12" s="11">
        <f t="shared" si="9"/>
        <v>2.032520325203252E-2</v>
      </c>
      <c r="U12" s="7">
        <v>5</v>
      </c>
      <c r="V12" s="11">
        <f t="shared" si="10"/>
        <v>1.8477457501847746E-3</v>
      </c>
      <c r="W12" s="7">
        <v>1</v>
      </c>
      <c r="X12" s="11">
        <f t="shared" si="11"/>
        <v>3.6954915003695491E-4</v>
      </c>
      <c r="Y12" s="7">
        <v>0</v>
      </c>
      <c r="Z12" s="9">
        <f t="shared" si="12"/>
        <v>0</v>
      </c>
    </row>
    <row r="13" spans="1:26" x14ac:dyDescent="0.2">
      <c r="A13" s="3">
        <v>12</v>
      </c>
      <c r="B13" s="3" t="s">
        <v>15</v>
      </c>
      <c r="C13" s="3">
        <v>128</v>
      </c>
      <c r="D13" s="3">
        <v>1149</v>
      </c>
      <c r="E13" s="4">
        <f t="shared" si="1"/>
        <v>602.52393385552659</v>
      </c>
      <c r="F13" s="9">
        <f t="shared" si="2"/>
        <v>0.52438984669758626</v>
      </c>
      <c r="G13" s="7">
        <v>276</v>
      </c>
      <c r="H13" s="11">
        <f t="shared" si="3"/>
        <v>0.24020887728459531</v>
      </c>
      <c r="I13" s="7">
        <v>221</v>
      </c>
      <c r="J13" s="11">
        <f t="shared" si="4"/>
        <v>0.19234116623150566</v>
      </c>
      <c r="K13" s="7">
        <v>33</v>
      </c>
      <c r="L13" s="11">
        <f t="shared" si="5"/>
        <v>2.8720626631853787E-2</v>
      </c>
      <c r="M13" s="7">
        <v>14</v>
      </c>
      <c r="N13" s="11">
        <f t="shared" si="6"/>
        <v>1.2184508268059183E-2</v>
      </c>
      <c r="O13" s="7">
        <v>0</v>
      </c>
      <c r="P13" s="11">
        <f t="shared" si="7"/>
        <v>0</v>
      </c>
      <c r="Q13" s="8">
        <f t="shared" si="0"/>
        <v>47</v>
      </c>
      <c r="R13" s="12">
        <f t="shared" si="8"/>
        <v>4.0905134899912966E-2</v>
      </c>
      <c r="S13" s="7">
        <v>49</v>
      </c>
      <c r="T13" s="11">
        <f t="shared" si="9"/>
        <v>4.2645778938207139E-2</v>
      </c>
      <c r="U13" s="7">
        <v>8</v>
      </c>
      <c r="V13" s="11">
        <f t="shared" si="10"/>
        <v>6.9625761531766752E-3</v>
      </c>
      <c r="W13" s="7">
        <v>1</v>
      </c>
      <c r="X13" s="11">
        <f t="shared" si="11"/>
        <v>8.703220191470844E-4</v>
      </c>
      <c r="Y13" s="7"/>
      <c r="Z13" s="9">
        <f t="shared" si="12"/>
        <v>0</v>
      </c>
    </row>
    <row r="14" spans="1:26" x14ac:dyDescent="0.2">
      <c r="A14" s="3">
        <v>13</v>
      </c>
      <c r="B14" s="3" t="s">
        <v>16</v>
      </c>
      <c r="C14" s="3">
        <v>101</v>
      </c>
      <c r="D14" s="3">
        <v>3785</v>
      </c>
      <c r="E14" s="4">
        <f t="shared" si="1"/>
        <v>1380.3638044914135</v>
      </c>
      <c r="F14" s="9">
        <f t="shared" si="2"/>
        <v>0.36469321122626513</v>
      </c>
      <c r="G14" s="7">
        <v>620</v>
      </c>
      <c r="H14" s="11">
        <f t="shared" si="3"/>
        <v>0.16380449141347425</v>
      </c>
      <c r="I14" s="7">
        <v>455</v>
      </c>
      <c r="J14" s="11">
        <f t="shared" si="4"/>
        <v>0.1202113606340819</v>
      </c>
      <c r="K14" s="7">
        <v>129</v>
      </c>
      <c r="L14" s="11">
        <f t="shared" si="5"/>
        <v>3.4081902245706737E-2</v>
      </c>
      <c r="M14" s="7">
        <v>53</v>
      </c>
      <c r="N14" s="11">
        <f t="shared" si="6"/>
        <v>1.4002642007926024E-2</v>
      </c>
      <c r="O14" s="7"/>
      <c r="P14" s="11">
        <f t="shared" si="7"/>
        <v>0</v>
      </c>
      <c r="Q14" s="8">
        <f t="shared" si="0"/>
        <v>182</v>
      </c>
      <c r="R14" s="12">
        <f t="shared" si="8"/>
        <v>4.8084544253632761E-2</v>
      </c>
      <c r="S14" s="7">
        <v>109</v>
      </c>
      <c r="T14" s="11">
        <f t="shared" si="9"/>
        <v>2.879788639365918E-2</v>
      </c>
      <c r="U14" s="7">
        <v>11</v>
      </c>
      <c r="V14" s="11">
        <f t="shared" si="10"/>
        <v>2.9062087186261559E-3</v>
      </c>
      <c r="W14" s="7">
        <v>0</v>
      </c>
      <c r="X14" s="11">
        <f t="shared" si="11"/>
        <v>0</v>
      </c>
      <c r="Y14" s="7">
        <v>3</v>
      </c>
      <c r="Z14" s="9">
        <f t="shared" si="12"/>
        <v>7.9260237780713345E-4</v>
      </c>
    </row>
    <row r="15" spans="1:26" x14ac:dyDescent="0.2">
      <c r="A15" s="3">
        <v>14</v>
      </c>
      <c r="B15" s="3" t="s">
        <v>17</v>
      </c>
      <c r="C15" s="3">
        <v>85</v>
      </c>
      <c r="D15" s="3">
        <v>5278</v>
      </c>
      <c r="E15" s="4">
        <f t="shared" si="1"/>
        <v>1875.3543008715421</v>
      </c>
      <c r="F15" s="9">
        <f t="shared" si="2"/>
        <v>0.35531532794079995</v>
      </c>
      <c r="G15" s="7">
        <v>745</v>
      </c>
      <c r="H15" s="11">
        <f t="shared" si="3"/>
        <v>0.14115195149677909</v>
      </c>
      <c r="I15" s="7">
        <v>651</v>
      </c>
      <c r="J15" s="11">
        <f t="shared" si="4"/>
        <v>0.123342175066313</v>
      </c>
      <c r="K15" s="7">
        <v>162</v>
      </c>
      <c r="L15" s="11">
        <f t="shared" si="5"/>
        <v>3.0693444486547934E-2</v>
      </c>
      <c r="M15" s="7">
        <v>46</v>
      </c>
      <c r="N15" s="11">
        <f t="shared" si="6"/>
        <v>8.7154225085259562E-3</v>
      </c>
      <c r="O15" s="7">
        <v>124</v>
      </c>
      <c r="P15" s="11">
        <f t="shared" si="7"/>
        <v>2.3493747631678667E-2</v>
      </c>
      <c r="Q15" s="8">
        <f t="shared" si="0"/>
        <v>332</v>
      </c>
      <c r="R15" s="12">
        <f t="shared" si="8"/>
        <v>6.2902614626752562E-2</v>
      </c>
      <c r="S15" s="7">
        <v>127</v>
      </c>
      <c r="T15" s="11">
        <f t="shared" si="9"/>
        <v>2.4062144751799925E-2</v>
      </c>
      <c r="U15" s="7">
        <v>15</v>
      </c>
      <c r="V15" s="11">
        <f t="shared" si="10"/>
        <v>2.8419856006062904E-3</v>
      </c>
      <c r="W15" s="7">
        <v>0</v>
      </c>
      <c r="X15" s="11">
        <f t="shared" si="11"/>
        <v>0</v>
      </c>
      <c r="Y15" s="7">
        <v>5</v>
      </c>
      <c r="Z15" s="9">
        <f t="shared" si="12"/>
        <v>9.4732853353543013E-4</v>
      </c>
    </row>
    <row r="16" spans="1:26" x14ac:dyDescent="0.2">
      <c r="A16" s="3">
        <v>21</v>
      </c>
      <c r="B16" s="3" t="s">
        <v>18</v>
      </c>
      <c r="C16" s="3">
        <v>124</v>
      </c>
      <c r="D16" s="3">
        <v>689</v>
      </c>
      <c r="E16" s="4">
        <f t="shared" si="1"/>
        <v>184.26705370101595</v>
      </c>
      <c r="F16" s="9">
        <f t="shared" si="2"/>
        <v>0.26744129709871689</v>
      </c>
      <c r="G16" s="7">
        <v>138</v>
      </c>
      <c r="H16" s="11">
        <f t="shared" si="3"/>
        <v>0.20029027576197386</v>
      </c>
      <c r="I16" s="7"/>
      <c r="J16" s="11">
        <f t="shared" si="4"/>
        <v>0</v>
      </c>
      <c r="K16" s="7"/>
      <c r="L16" s="11">
        <f t="shared" si="5"/>
        <v>0</v>
      </c>
      <c r="M16" s="7"/>
      <c r="N16" s="11">
        <f t="shared" si="6"/>
        <v>0</v>
      </c>
      <c r="O16" s="7">
        <v>32</v>
      </c>
      <c r="P16" s="11">
        <f t="shared" si="7"/>
        <v>4.6444121915820029E-2</v>
      </c>
      <c r="Q16" s="8">
        <f t="shared" si="0"/>
        <v>32</v>
      </c>
      <c r="R16" s="12">
        <f t="shared" si="8"/>
        <v>4.6444121915820029E-2</v>
      </c>
      <c r="S16" s="7">
        <v>12</v>
      </c>
      <c r="T16" s="11">
        <f t="shared" si="9"/>
        <v>1.741654571843251E-2</v>
      </c>
      <c r="U16" s="7">
        <v>1</v>
      </c>
      <c r="V16" s="11">
        <f t="shared" si="10"/>
        <v>1.4513788098693759E-3</v>
      </c>
      <c r="W16" s="7">
        <v>1</v>
      </c>
      <c r="X16" s="11">
        <f t="shared" si="11"/>
        <v>1.4513788098693759E-3</v>
      </c>
      <c r="Y16" s="7"/>
      <c r="Z16" s="9">
        <f t="shared" si="12"/>
        <v>0</v>
      </c>
    </row>
    <row r="17" spans="1:26" x14ac:dyDescent="0.2">
      <c r="A17" s="3">
        <v>22</v>
      </c>
      <c r="B17" s="3" t="s">
        <v>19</v>
      </c>
      <c r="C17" s="3">
        <v>114</v>
      </c>
      <c r="D17" s="3">
        <v>851</v>
      </c>
      <c r="E17" s="4">
        <f t="shared" si="1"/>
        <v>244.28672150411282</v>
      </c>
      <c r="F17" s="9">
        <f t="shared" si="2"/>
        <v>0.28705842714936874</v>
      </c>
      <c r="G17" s="7">
        <v>167</v>
      </c>
      <c r="H17" s="11">
        <f t="shared" si="3"/>
        <v>0.19623971797884843</v>
      </c>
      <c r="I17" s="7"/>
      <c r="J17" s="11">
        <f t="shared" si="4"/>
        <v>0</v>
      </c>
      <c r="K17" s="7">
        <v>36</v>
      </c>
      <c r="L17" s="11">
        <f t="shared" si="5"/>
        <v>4.230317273795535E-2</v>
      </c>
      <c r="M17" s="7">
        <v>11</v>
      </c>
      <c r="N17" s="11">
        <f t="shared" si="6"/>
        <v>1.2925969447708578E-2</v>
      </c>
      <c r="O17" s="7"/>
      <c r="P17" s="11">
        <f t="shared" si="7"/>
        <v>0</v>
      </c>
      <c r="Q17" s="8">
        <f t="shared" si="0"/>
        <v>47</v>
      </c>
      <c r="R17" s="12">
        <f t="shared" si="8"/>
        <v>5.5229142185663924E-2</v>
      </c>
      <c r="S17" s="7">
        <v>20</v>
      </c>
      <c r="T17" s="11">
        <f t="shared" si="9"/>
        <v>2.3501762632197415E-2</v>
      </c>
      <c r="U17" s="7">
        <v>10</v>
      </c>
      <c r="V17" s="11">
        <f t="shared" si="10"/>
        <v>1.1750881316098707E-2</v>
      </c>
      <c r="W17" s="7"/>
      <c r="X17" s="11">
        <f t="shared" si="11"/>
        <v>0</v>
      </c>
      <c r="Y17" s="7"/>
      <c r="Z17" s="9">
        <f t="shared" si="12"/>
        <v>0</v>
      </c>
    </row>
    <row r="18" spans="1:26" x14ac:dyDescent="0.2">
      <c r="A18" s="3">
        <v>23</v>
      </c>
      <c r="B18" s="3" t="s">
        <v>20</v>
      </c>
      <c r="C18" s="3">
        <v>98</v>
      </c>
      <c r="D18" s="3">
        <v>595</v>
      </c>
      <c r="E18" s="4">
        <f t="shared" si="1"/>
        <v>307.40672268907559</v>
      </c>
      <c r="F18" s="9">
        <f t="shared" si="2"/>
        <v>0.51664995409928671</v>
      </c>
      <c r="G18" s="7">
        <v>115</v>
      </c>
      <c r="H18" s="11">
        <f t="shared" si="3"/>
        <v>0.19327731092436976</v>
      </c>
      <c r="I18" s="7">
        <v>81</v>
      </c>
      <c r="J18" s="11">
        <f t="shared" si="4"/>
        <v>0.13613445378151259</v>
      </c>
      <c r="K18" s="7"/>
      <c r="L18" s="11">
        <f t="shared" si="5"/>
        <v>0</v>
      </c>
      <c r="M18" s="7"/>
      <c r="N18" s="11">
        <f t="shared" si="6"/>
        <v>0</v>
      </c>
      <c r="O18" s="7">
        <v>29</v>
      </c>
      <c r="P18" s="11">
        <f t="shared" si="7"/>
        <v>4.8739495798319328E-2</v>
      </c>
      <c r="Q18" s="8">
        <f t="shared" si="0"/>
        <v>29</v>
      </c>
      <c r="R18" s="12">
        <f t="shared" si="8"/>
        <v>4.8739495798319328E-2</v>
      </c>
      <c r="S18" s="7">
        <v>17</v>
      </c>
      <c r="T18" s="11">
        <f t="shared" si="9"/>
        <v>2.8571428571428571E-2</v>
      </c>
      <c r="U18" s="7"/>
      <c r="V18" s="11">
        <f t="shared" si="10"/>
        <v>0</v>
      </c>
      <c r="W18" s="7"/>
      <c r="X18" s="11">
        <f t="shared" si="11"/>
        <v>0</v>
      </c>
      <c r="Y18" s="7">
        <v>65</v>
      </c>
      <c r="Z18" s="9">
        <f t="shared" si="12"/>
        <v>0.1092436974789916</v>
      </c>
    </row>
    <row r="19" spans="1:26" x14ac:dyDescent="0.2">
      <c r="A19" s="3">
        <v>24</v>
      </c>
      <c r="B19" s="3" t="s">
        <v>21</v>
      </c>
      <c r="C19" s="3">
        <v>106</v>
      </c>
      <c r="D19" s="3">
        <v>1022</v>
      </c>
      <c r="E19" s="4">
        <f t="shared" si="1"/>
        <v>368.34931506849313</v>
      </c>
      <c r="F19" s="9">
        <f t="shared" si="2"/>
        <v>0.36042007345253729</v>
      </c>
      <c r="G19" s="7">
        <v>220</v>
      </c>
      <c r="H19" s="11">
        <f t="shared" si="3"/>
        <v>0.21526418786692758</v>
      </c>
      <c r="I19" s="7">
        <v>49</v>
      </c>
      <c r="J19" s="11">
        <f t="shared" si="4"/>
        <v>4.7945205479452052E-2</v>
      </c>
      <c r="K19" s="7">
        <v>62</v>
      </c>
      <c r="L19" s="11">
        <f t="shared" si="5"/>
        <v>6.0665362035225046E-2</v>
      </c>
      <c r="M19" s="7"/>
      <c r="N19" s="11">
        <f t="shared" si="6"/>
        <v>0</v>
      </c>
      <c r="O19" s="7"/>
      <c r="P19" s="11">
        <f t="shared" si="7"/>
        <v>0</v>
      </c>
      <c r="Q19" s="8">
        <f t="shared" si="0"/>
        <v>62</v>
      </c>
      <c r="R19" s="12">
        <f t="shared" si="8"/>
        <v>6.0665362035225046E-2</v>
      </c>
      <c r="S19" s="7">
        <v>26</v>
      </c>
      <c r="T19" s="11">
        <f t="shared" si="9"/>
        <v>2.5440313111545987E-2</v>
      </c>
      <c r="U19" s="7"/>
      <c r="V19" s="11">
        <f t="shared" si="10"/>
        <v>0</v>
      </c>
      <c r="W19" s="7"/>
      <c r="X19" s="11">
        <f t="shared" si="11"/>
        <v>0</v>
      </c>
      <c r="Y19" s="7">
        <v>11</v>
      </c>
      <c r="Z19" s="9">
        <f t="shared" si="12"/>
        <v>1.0763209393346379E-2</v>
      </c>
    </row>
    <row r="20" spans="1:26" x14ac:dyDescent="0.2">
      <c r="A20" s="3">
        <v>25</v>
      </c>
      <c r="B20" s="3" t="s">
        <v>22</v>
      </c>
      <c r="C20" s="3">
        <v>109</v>
      </c>
      <c r="D20" s="3">
        <v>1912</v>
      </c>
      <c r="E20" s="4">
        <f t="shared" si="1"/>
        <v>568.29707112970709</v>
      </c>
      <c r="F20" s="9">
        <f t="shared" si="2"/>
        <v>0.29722650163687608</v>
      </c>
      <c r="G20" s="7">
        <v>379</v>
      </c>
      <c r="H20" s="11">
        <f t="shared" si="3"/>
        <v>0.19822175732217573</v>
      </c>
      <c r="I20" s="7">
        <v>0</v>
      </c>
      <c r="J20" s="11">
        <f t="shared" si="4"/>
        <v>0</v>
      </c>
      <c r="K20" s="7">
        <v>43</v>
      </c>
      <c r="L20" s="11">
        <f t="shared" si="5"/>
        <v>2.2489539748953975E-2</v>
      </c>
      <c r="M20" s="7">
        <v>98</v>
      </c>
      <c r="N20" s="11">
        <f t="shared" si="6"/>
        <v>5.1255230125523014E-2</v>
      </c>
      <c r="O20" s="7"/>
      <c r="P20" s="11">
        <f t="shared" si="7"/>
        <v>0</v>
      </c>
      <c r="Q20" s="8">
        <f t="shared" si="0"/>
        <v>141</v>
      </c>
      <c r="R20" s="12">
        <f t="shared" si="8"/>
        <v>7.3744769874476992E-2</v>
      </c>
      <c r="S20" s="7">
        <v>43</v>
      </c>
      <c r="T20" s="11">
        <f t="shared" si="9"/>
        <v>2.2489539748953975E-2</v>
      </c>
      <c r="U20" s="7">
        <v>4</v>
      </c>
      <c r="V20" s="11">
        <f t="shared" si="10"/>
        <v>2.0920502092050207E-3</v>
      </c>
      <c r="W20" s="7">
        <v>1</v>
      </c>
      <c r="X20" s="11">
        <f t="shared" si="11"/>
        <v>5.2301255230125519E-4</v>
      </c>
      <c r="Y20" s="7">
        <v>0</v>
      </c>
      <c r="Z20" s="9">
        <f t="shared" si="12"/>
        <v>0</v>
      </c>
    </row>
    <row r="21" spans="1:26" x14ac:dyDescent="0.2">
      <c r="A21" s="3">
        <v>26</v>
      </c>
      <c r="B21" s="3" t="s">
        <v>23</v>
      </c>
      <c r="C21" s="3">
        <v>109</v>
      </c>
      <c r="D21" s="3">
        <v>665</v>
      </c>
      <c r="E21" s="4">
        <f t="shared" si="1"/>
        <v>279.40601503759399</v>
      </c>
      <c r="F21" s="9">
        <f t="shared" si="2"/>
        <v>0.42015942110916388</v>
      </c>
      <c r="G21" s="7">
        <v>132</v>
      </c>
      <c r="H21" s="11">
        <f t="shared" si="3"/>
        <v>0.19849624060150375</v>
      </c>
      <c r="I21" s="7">
        <v>68</v>
      </c>
      <c r="J21" s="11">
        <f t="shared" si="4"/>
        <v>0.10225563909774436</v>
      </c>
      <c r="K21" s="7">
        <v>24</v>
      </c>
      <c r="L21" s="11">
        <f t="shared" si="5"/>
        <v>3.6090225563909777E-2</v>
      </c>
      <c r="M21" s="7">
        <v>6</v>
      </c>
      <c r="N21" s="11">
        <f t="shared" si="6"/>
        <v>9.0225563909774441E-3</v>
      </c>
      <c r="O21" s="7"/>
      <c r="P21" s="11">
        <f t="shared" si="7"/>
        <v>0</v>
      </c>
      <c r="Q21" s="8">
        <f t="shared" si="0"/>
        <v>30</v>
      </c>
      <c r="R21" s="12">
        <f t="shared" si="8"/>
        <v>4.5112781954887216E-2</v>
      </c>
      <c r="S21" s="7">
        <v>27</v>
      </c>
      <c r="T21" s="11">
        <f t="shared" si="9"/>
        <v>4.06015037593985E-2</v>
      </c>
      <c r="U21" s="7">
        <v>13</v>
      </c>
      <c r="V21" s="11">
        <f t="shared" si="10"/>
        <v>1.9548872180451128E-2</v>
      </c>
      <c r="W21" s="7"/>
      <c r="X21" s="11">
        <f t="shared" si="11"/>
        <v>0</v>
      </c>
      <c r="Y21" s="7">
        <v>9</v>
      </c>
      <c r="Z21" s="9">
        <f t="shared" si="12"/>
        <v>1.3533834586466165E-2</v>
      </c>
    </row>
    <row r="22" spans="1:26" x14ac:dyDescent="0.2">
      <c r="A22" s="3">
        <v>27</v>
      </c>
      <c r="B22" s="3" t="s">
        <v>24</v>
      </c>
      <c r="C22" s="3">
        <v>114</v>
      </c>
      <c r="D22" s="3">
        <v>3700</v>
      </c>
      <c r="E22" s="4">
        <f t="shared" si="1"/>
        <v>1154.3045945945946</v>
      </c>
      <c r="F22" s="9">
        <f t="shared" si="2"/>
        <v>0.31197421475529585</v>
      </c>
      <c r="G22" s="7">
        <v>437</v>
      </c>
      <c r="H22" s="11">
        <f t="shared" si="3"/>
        <v>0.11810810810810811</v>
      </c>
      <c r="I22" s="7">
        <v>515</v>
      </c>
      <c r="J22" s="11">
        <f t="shared" si="4"/>
        <v>0.13918918918918918</v>
      </c>
      <c r="K22" s="7">
        <v>86</v>
      </c>
      <c r="L22" s="11">
        <f t="shared" si="5"/>
        <v>2.3243243243243242E-2</v>
      </c>
      <c r="M22" s="7">
        <v>20</v>
      </c>
      <c r="N22" s="11">
        <f t="shared" si="6"/>
        <v>5.4054054054054057E-3</v>
      </c>
      <c r="O22" s="7"/>
      <c r="P22" s="11">
        <f t="shared" si="7"/>
        <v>0</v>
      </c>
      <c r="Q22" s="8">
        <f t="shared" si="0"/>
        <v>106</v>
      </c>
      <c r="R22" s="12">
        <f t="shared" si="8"/>
        <v>2.8648648648648647E-2</v>
      </c>
      <c r="S22" s="7">
        <v>54</v>
      </c>
      <c r="T22" s="11">
        <f t="shared" si="9"/>
        <v>1.4594594594594595E-2</v>
      </c>
      <c r="U22" s="7">
        <v>13</v>
      </c>
      <c r="V22" s="11">
        <f t="shared" si="10"/>
        <v>3.5135135135135136E-3</v>
      </c>
      <c r="W22" s="7">
        <v>2</v>
      </c>
      <c r="X22" s="11">
        <f t="shared" si="11"/>
        <v>5.4054054054054055E-4</v>
      </c>
      <c r="Y22" s="7">
        <v>27</v>
      </c>
      <c r="Z22" s="9">
        <f t="shared" si="12"/>
        <v>7.2972972972972974E-3</v>
      </c>
    </row>
    <row r="23" spans="1:26" x14ac:dyDescent="0.2">
      <c r="A23" s="3">
        <v>28</v>
      </c>
      <c r="B23" s="3" t="s">
        <v>25</v>
      </c>
      <c r="C23" s="3">
        <v>107</v>
      </c>
      <c r="D23" s="3">
        <v>1427</v>
      </c>
      <c r="E23" s="4">
        <f t="shared" si="1"/>
        <v>433.30133146461105</v>
      </c>
      <c r="F23" s="9">
        <f t="shared" si="2"/>
        <v>0.30364494146083465</v>
      </c>
      <c r="G23" s="7">
        <v>281</v>
      </c>
      <c r="H23" s="11">
        <f t="shared" si="3"/>
        <v>0.19691660826909602</v>
      </c>
      <c r="I23" s="7"/>
      <c r="J23" s="11">
        <f t="shared" si="4"/>
        <v>0</v>
      </c>
      <c r="K23" s="7">
        <v>60</v>
      </c>
      <c r="L23" s="11">
        <f t="shared" si="5"/>
        <v>4.2046250875963559E-2</v>
      </c>
      <c r="M23" s="7">
        <v>17</v>
      </c>
      <c r="N23" s="11">
        <f t="shared" si="6"/>
        <v>1.1913104414856343E-2</v>
      </c>
      <c r="O23" s="7"/>
      <c r="P23" s="11">
        <f t="shared" si="7"/>
        <v>0</v>
      </c>
      <c r="Q23" s="8">
        <f t="shared" si="0"/>
        <v>77</v>
      </c>
      <c r="R23" s="12">
        <f t="shared" si="8"/>
        <v>5.3959355290819903E-2</v>
      </c>
      <c r="S23" s="7">
        <v>57</v>
      </c>
      <c r="T23" s="11">
        <f t="shared" si="9"/>
        <v>3.9943938332165384E-2</v>
      </c>
      <c r="U23" s="7">
        <v>13</v>
      </c>
      <c r="V23" s="11">
        <f t="shared" si="10"/>
        <v>9.1100210231254385E-3</v>
      </c>
      <c r="W23" s="7">
        <v>2</v>
      </c>
      <c r="X23" s="11">
        <f t="shared" si="11"/>
        <v>1.4015416958654519E-3</v>
      </c>
      <c r="Y23" s="7">
        <v>3</v>
      </c>
      <c r="Z23" s="9">
        <f t="shared" si="12"/>
        <v>2.1023125437981782E-3</v>
      </c>
    </row>
    <row r="24" spans="1:26" x14ac:dyDescent="0.2">
      <c r="A24" s="3">
        <v>29</v>
      </c>
      <c r="B24" s="3" t="s">
        <v>26</v>
      </c>
      <c r="C24" s="3">
        <v>112</v>
      </c>
      <c r="D24" s="3">
        <v>1556</v>
      </c>
      <c r="E24" s="4">
        <f t="shared" si="1"/>
        <v>429.27570694087404</v>
      </c>
      <c r="F24" s="9">
        <f t="shared" si="2"/>
        <v>0.27588413042472626</v>
      </c>
      <c r="G24" s="7">
        <v>150</v>
      </c>
      <c r="H24" s="11">
        <f t="shared" si="3"/>
        <v>9.6401028277634956E-2</v>
      </c>
      <c r="I24" s="7">
        <v>207</v>
      </c>
      <c r="J24" s="11">
        <f t="shared" si="4"/>
        <v>0.13303341902313626</v>
      </c>
      <c r="K24" s="7">
        <v>37</v>
      </c>
      <c r="L24" s="11">
        <f t="shared" si="5"/>
        <v>2.377892030848329E-2</v>
      </c>
      <c r="M24" s="7">
        <v>6</v>
      </c>
      <c r="N24" s="11">
        <f t="shared" si="6"/>
        <v>3.8560411311053984E-3</v>
      </c>
      <c r="O24" s="7"/>
      <c r="P24" s="11">
        <f t="shared" si="7"/>
        <v>0</v>
      </c>
      <c r="Q24" s="8">
        <f t="shared" si="0"/>
        <v>43</v>
      </c>
      <c r="R24" s="12">
        <f t="shared" si="8"/>
        <v>2.7634961439588688E-2</v>
      </c>
      <c r="S24" s="7">
        <v>26</v>
      </c>
      <c r="T24" s="11">
        <f t="shared" si="9"/>
        <v>1.6709511568123392E-2</v>
      </c>
      <c r="U24" s="7">
        <v>3</v>
      </c>
      <c r="V24" s="11">
        <f t="shared" si="10"/>
        <v>1.9280205655526992E-3</v>
      </c>
      <c r="W24" s="7">
        <v>0</v>
      </c>
      <c r="X24" s="11">
        <f t="shared" si="11"/>
        <v>0</v>
      </c>
      <c r="Y24" s="7"/>
      <c r="Z24" s="9">
        <f t="shared" si="12"/>
        <v>0</v>
      </c>
    </row>
    <row r="25" spans="1:26" x14ac:dyDescent="0.2">
      <c r="A25" s="3">
        <v>30</v>
      </c>
      <c r="B25" s="3" t="s">
        <v>27</v>
      </c>
      <c r="C25" s="3">
        <v>112</v>
      </c>
      <c r="D25" s="3">
        <v>2227</v>
      </c>
      <c r="E25" s="4">
        <f t="shared" si="1"/>
        <v>1069.4665469241131</v>
      </c>
      <c r="F25" s="9">
        <f t="shared" si="2"/>
        <v>0.4802274570831222</v>
      </c>
      <c r="G25" s="7">
        <v>444</v>
      </c>
      <c r="H25" s="11">
        <f t="shared" si="3"/>
        <v>0.19937135159407274</v>
      </c>
      <c r="I25" s="7">
        <v>423</v>
      </c>
      <c r="J25" s="11">
        <f t="shared" si="4"/>
        <v>0.18994162550516389</v>
      </c>
      <c r="K25" s="7">
        <v>81</v>
      </c>
      <c r="L25" s="11">
        <f t="shared" si="5"/>
        <v>3.6371800628648407E-2</v>
      </c>
      <c r="M25" s="7">
        <v>19</v>
      </c>
      <c r="N25" s="11">
        <f t="shared" si="6"/>
        <v>8.5316569375841946E-3</v>
      </c>
      <c r="O25" s="7">
        <v>0</v>
      </c>
      <c r="P25" s="11">
        <f t="shared" si="7"/>
        <v>0</v>
      </c>
      <c r="Q25" s="8">
        <f t="shared" si="0"/>
        <v>100</v>
      </c>
      <c r="R25" s="12">
        <f t="shared" si="8"/>
        <v>4.4903457566232603E-2</v>
      </c>
      <c r="S25" s="7">
        <v>57</v>
      </c>
      <c r="T25" s="11">
        <f t="shared" si="9"/>
        <v>2.5594970812752582E-2</v>
      </c>
      <c r="U25" s="7">
        <v>14</v>
      </c>
      <c r="V25" s="11">
        <f t="shared" si="10"/>
        <v>6.2864840592725636E-3</v>
      </c>
      <c r="W25" s="7">
        <v>1</v>
      </c>
      <c r="X25" s="11">
        <f t="shared" si="11"/>
        <v>4.4903457566232598E-4</v>
      </c>
      <c r="Y25" s="7">
        <v>30</v>
      </c>
      <c r="Z25" s="9">
        <f t="shared" si="12"/>
        <v>1.3471037269869779E-2</v>
      </c>
    </row>
    <row r="26" spans="1:26" x14ac:dyDescent="0.2">
      <c r="A26" s="3">
        <v>31</v>
      </c>
      <c r="B26" s="3" t="s">
        <v>28</v>
      </c>
      <c r="C26" s="3">
        <v>100</v>
      </c>
      <c r="D26" s="3">
        <v>2294</v>
      </c>
      <c r="E26" s="4">
        <f t="shared" si="1"/>
        <v>1056.445510026155</v>
      </c>
      <c r="F26" s="9">
        <f t="shared" si="2"/>
        <v>0.46052550567835876</v>
      </c>
      <c r="G26" s="7">
        <v>445</v>
      </c>
      <c r="H26" s="11">
        <f t="shared" si="3"/>
        <v>0.19398430688753268</v>
      </c>
      <c r="I26" s="7">
        <v>403</v>
      </c>
      <c r="J26" s="11">
        <f t="shared" si="4"/>
        <v>0.17567567567567569</v>
      </c>
      <c r="K26" s="7">
        <v>72</v>
      </c>
      <c r="L26" s="11">
        <f t="shared" si="5"/>
        <v>3.1386224934612031E-2</v>
      </c>
      <c r="M26" s="7">
        <v>14</v>
      </c>
      <c r="N26" s="11">
        <f t="shared" si="6"/>
        <v>6.1028770706190059E-3</v>
      </c>
      <c r="O26" s="7"/>
      <c r="P26" s="11">
        <f t="shared" si="7"/>
        <v>0</v>
      </c>
      <c r="Q26" s="8">
        <f t="shared" si="0"/>
        <v>86</v>
      </c>
      <c r="R26" s="12">
        <f t="shared" si="8"/>
        <v>3.7489102005231034E-2</v>
      </c>
      <c r="S26" s="7">
        <v>72</v>
      </c>
      <c r="T26" s="11">
        <f t="shared" si="9"/>
        <v>3.1386224934612031E-2</v>
      </c>
      <c r="U26" s="7">
        <v>15</v>
      </c>
      <c r="V26" s="11">
        <f t="shared" si="10"/>
        <v>6.5387968613775061E-3</v>
      </c>
      <c r="W26" s="7">
        <v>1</v>
      </c>
      <c r="X26" s="11">
        <f t="shared" si="11"/>
        <v>4.3591979075850045E-4</v>
      </c>
      <c r="Y26" s="7">
        <v>34</v>
      </c>
      <c r="Z26" s="9">
        <f t="shared" si="12"/>
        <v>1.4821272885789015E-2</v>
      </c>
    </row>
    <row r="27" spans="1:26" x14ac:dyDescent="0.2">
      <c r="A27" s="3">
        <v>32</v>
      </c>
      <c r="B27" s="3" t="s">
        <v>29</v>
      </c>
      <c r="C27" s="3">
        <v>123</v>
      </c>
      <c r="D27" s="3">
        <v>484</v>
      </c>
      <c r="E27" s="4">
        <f t="shared" si="1"/>
        <v>238.4917355371901</v>
      </c>
      <c r="F27" s="9">
        <f t="shared" si="2"/>
        <v>0.49275151970493819</v>
      </c>
      <c r="G27" s="7">
        <v>96</v>
      </c>
      <c r="H27" s="11">
        <f t="shared" si="3"/>
        <v>0.19834710743801653</v>
      </c>
      <c r="I27" s="7">
        <v>83</v>
      </c>
      <c r="J27" s="11">
        <f t="shared" si="4"/>
        <v>0.17148760330578514</v>
      </c>
      <c r="K27" s="7">
        <v>19</v>
      </c>
      <c r="L27" s="11">
        <f t="shared" si="5"/>
        <v>3.9256198347107439E-2</v>
      </c>
      <c r="M27" s="7">
        <v>3</v>
      </c>
      <c r="N27" s="11">
        <f t="shared" si="6"/>
        <v>6.1983471074380167E-3</v>
      </c>
      <c r="O27" s="7">
        <v>22</v>
      </c>
      <c r="P27" s="11">
        <f t="shared" si="7"/>
        <v>4.5454545454545456E-2</v>
      </c>
      <c r="Q27" s="8">
        <f t="shared" si="0"/>
        <v>44</v>
      </c>
      <c r="R27" s="12">
        <f t="shared" si="8"/>
        <v>9.0909090909090912E-2</v>
      </c>
      <c r="S27" s="7">
        <v>14</v>
      </c>
      <c r="T27" s="11">
        <f t="shared" si="9"/>
        <v>2.8925619834710745E-2</v>
      </c>
      <c r="U27" s="7">
        <v>1</v>
      </c>
      <c r="V27" s="11">
        <f t="shared" si="10"/>
        <v>2.0661157024793389E-3</v>
      </c>
      <c r="W27" s="7">
        <v>0</v>
      </c>
      <c r="X27" s="11">
        <f t="shared" si="11"/>
        <v>0</v>
      </c>
      <c r="Y27" s="7">
        <v>0</v>
      </c>
      <c r="Z27" s="9">
        <f t="shared" si="12"/>
        <v>0</v>
      </c>
    </row>
    <row r="28" spans="1:26" x14ac:dyDescent="0.2">
      <c r="A28" s="3">
        <v>33</v>
      </c>
      <c r="B28" s="3" t="s">
        <v>30</v>
      </c>
      <c r="C28" s="3">
        <v>110</v>
      </c>
      <c r="D28" s="3">
        <v>2105</v>
      </c>
      <c r="E28" s="4">
        <f t="shared" si="1"/>
        <v>983.46698337292162</v>
      </c>
      <c r="F28" s="9">
        <f t="shared" si="2"/>
        <v>0.46720521775435708</v>
      </c>
      <c r="G28" s="7">
        <v>418</v>
      </c>
      <c r="H28" s="11">
        <f t="shared" si="3"/>
        <v>0.19857482185273159</v>
      </c>
      <c r="I28" s="7">
        <v>395</v>
      </c>
      <c r="J28" s="11">
        <f t="shared" si="4"/>
        <v>0.18764845605700711</v>
      </c>
      <c r="K28" s="7">
        <v>77</v>
      </c>
      <c r="L28" s="11">
        <f t="shared" si="5"/>
        <v>3.6579572446555818E-2</v>
      </c>
      <c r="M28" s="7">
        <v>18</v>
      </c>
      <c r="N28" s="11">
        <f t="shared" si="6"/>
        <v>8.5510688836104506E-3</v>
      </c>
      <c r="O28" s="7"/>
      <c r="P28" s="11">
        <f t="shared" si="7"/>
        <v>0</v>
      </c>
      <c r="Q28" s="8">
        <f t="shared" si="0"/>
        <v>95</v>
      </c>
      <c r="R28" s="12">
        <f t="shared" si="8"/>
        <v>4.5130641330166268E-2</v>
      </c>
      <c r="S28" s="7">
        <v>72</v>
      </c>
      <c r="T28" s="11">
        <f t="shared" si="9"/>
        <v>3.4204275534441803E-2</v>
      </c>
      <c r="U28" s="7">
        <v>3</v>
      </c>
      <c r="V28" s="11">
        <f t="shared" si="10"/>
        <v>1.4251781472684087E-3</v>
      </c>
      <c r="W28" s="7">
        <v>0</v>
      </c>
      <c r="X28" s="11">
        <f t="shared" si="11"/>
        <v>0</v>
      </c>
      <c r="Y28" s="7"/>
      <c r="Z28" s="9">
        <f t="shared" si="12"/>
        <v>0</v>
      </c>
    </row>
    <row r="29" spans="1:26" x14ac:dyDescent="0.2">
      <c r="A29" s="3">
        <v>34</v>
      </c>
      <c r="B29" s="3" t="s">
        <v>31</v>
      </c>
      <c r="C29" s="3">
        <v>102</v>
      </c>
      <c r="D29" s="3">
        <v>1780</v>
      </c>
      <c r="E29" s="4">
        <f t="shared" si="1"/>
        <v>815.44269662921351</v>
      </c>
      <c r="F29" s="9">
        <f>E29/D29</f>
        <v>0.45811387451079411</v>
      </c>
      <c r="G29" s="7">
        <v>348</v>
      </c>
      <c r="H29" s="11">
        <f t="shared" si="3"/>
        <v>0.19550561797752808</v>
      </c>
      <c r="I29" s="7">
        <v>286</v>
      </c>
      <c r="J29" s="11">
        <f t="shared" si="4"/>
        <v>0.16067415730337078</v>
      </c>
      <c r="K29" s="7">
        <v>55</v>
      </c>
      <c r="L29" s="11">
        <f t="shared" si="5"/>
        <v>3.0898876404494381E-2</v>
      </c>
      <c r="M29" s="7">
        <v>14</v>
      </c>
      <c r="N29" s="11">
        <f t="shared" si="6"/>
        <v>7.8651685393258432E-3</v>
      </c>
      <c r="O29" s="7">
        <v>0</v>
      </c>
      <c r="P29" s="11">
        <f t="shared" si="7"/>
        <v>0</v>
      </c>
      <c r="Q29" s="8">
        <f t="shared" si="0"/>
        <v>69</v>
      </c>
      <c r="R29" s="12">
        <f t="shared" si="8"/>
        <v>3.8764044943820228E-2</v>
      </c>
      <c r="S29" s="7">
        <v>61</v>
      </c>
      <c r="T29" s="11">
        <f t="shared" si="9"/>
        <v>3.4269662921348316E-2</v>
      </c>
      <c r="U29" s="7">
        <v>24</v>
      </c>
      <c r="V29" s="11">
        <f t="shared" si="10"/>
        <v>1.3483146067415731E-2</v>
      </c>
      <c r="W29" s="7">
        <v>0</v>
      </c>
      <c r="X29" s="11">
        <f t="shared" si="11"/>
        <v>0</v>
      </c>
      <c r="Y29" s="7">
        <v>27</v>
      </c>
      <c r="Z29" s="9">
        <f t="shared" si="12"/>
        <v>1.5168539325842697E-2</v>
      </c>
    </row>
    <row r="30" spans="1:26" x14ac:dyDescent="0.2">
      <c r="A30" s="3">
        <v>35</v>
      </c>
      <c r="B30" s="3" t="s">
        <v>32</v>
      </c>
      <c r="C30" s="3">
        <v>109</v>
      </c>
      <c r="D30" s="3">
        <v>1929</v>
      </c>
      <c r="E30" s="4">
        <f t="shared" si="1"/>
        <v>832.41472265422499</v>
      </c>
      <c r="F30" s="9">
        <f t="shared" si="2"/>
        <v>0.43152655399389578</v>
      </c>
      <c r="G30" s="7">
        <v>378</v>
      </c>
      <c r="H30" s="11">
        <f t="shared" si="3"/>
        <v>0.19595645412130638</v>
      </c>
      <c r="I30" s="7">
        <v>181</v>
      </c>
      <c r="J30" s="11">
        <f t="shared" si="4"/>
        <v>9.3831000518403318E-2</v>
      </c>
      <c r="K30" s="7">
        <v>88</v>
      </c>
      <c r="L30" s="11">
        <f t="shared" si="5"/>
        <v>4.5619491964748578E-2</v>
      </c>
      <c r="M30" s="7">
        <v>20</v>
      </c>
      <c r="N30" s="11">
        <f t="shared" si="6"/>
        <v>1.0368066355624676E-2</v>
      </c>
      <c r="O30" s="7">
        <v>2</v>
      </c>
      <c r="P30" s="11">
        <f t="shared" si="7"/>
        <v>1.0368066355624676E-3</v>
      </c>
      <c r="Q30" s="8">
        <f t="shared" si="0"/>
        <v>110</v>
      </c>
      <c r="R30" s="12">
        <f t="shared" si="8"/>
        <v>5.702436495593572E-2</v>
      </c>
      <c r="S30" s="7">
        <v>102</v>
      </c>
      <c r="T30" s="11">
        <f t="shared" si="9"/>
        <v>5.2877138413685847E-2</v>
      </c>
      <c r="U30" s="7">
        <v>28</v>
      </c>
      <c r="V30" s="11">
        <f t="shared" si="10"/>
        <v>1.4515292897874546E-2</v>
      </c>
      <c r="W30" s="7">
        <v>1</v>
      </c>
      <c r="X30" s="11">
        <f t="shared" si="11"/>
        <v>5.184033177812338E-4</v>
      </c>
      <c r="Y30" s="7">
        <v>32</v>
      </c>
      <c r="Z30" s="9">
        <f t="shared" si="12"/>
        <v>1.6588906168999482E-2</v>
      </c>
    </row>
    <row r="31" spans="1:26" x14ac:dyDescent="0.2">
      <c r="A31" s="3">
        <v>37</v>
      </c>
      <c r="B31" s="3" t="s">
        <v>33</v>
      </c>
      <c r="C31" s="3">
        <v>99</v>
      </c>
      <c r="D31" s="3">
        <v>1726</v>
      </c>
      <c r="E31" s="4">
        <f t="shared" si="1"/>
        <v>463.25376593279253</v>
      </c>
      <c r="F31" s="9">
        <f t="shared" si="2"/>
        <v>0.26839731514066772</v>
      </c>
      <c r="G31" s="7">
        <v>334</v>
      </c>
      <c r="H31" s="11">
        <f t="shared" si="3"/>
        <v>0.19351100811123986</v>
      </c>
      <c r="I31" s="7"/>
      <c r="J31" s="11">
        <f t="shared" si="4"/>
        <v>0</v>
      </c>
      <c r="K31" s="7">
        <v>54</v>
      </c>
      <c r="L31" s="11">
        <f t="shared" si="5"/>
        <v>3.1286210892236384E-2</v>
      </c>
      <c r="M31" s="7">
        <v>13</v>
      </c>
      <c r="N31" s="11">
        <f t="shared" si="6"/>
        <v>7.5318655851680186E-3</v>
      </c>
      <c r="O31" s="7"/>
      <c r="P31" s="11">
        <f t="shared" si="7"/>
        <v>0</v>
      </c>
      <c r="Q31" s="8">
        <f t="shared" si="0"/>
        <v>67</v>
      </c>
      <c r="R31" s="12">
        <f t="shared" si="8"/>
        <v>3.8818076477404401E-2</v>
      </c>
      <c r="S31" s="7">
        <v>32</v>
      </c>
      <c r="T31" s="11">
        <f t="shared" si="9"/>
        <v>1.8539976825028968E-2</v>
      </c>
      <c r="U31" s="7">
        <v>4</v>
      </c>
      <c r="V31" s="11">
        <f t="shared" si="10"/>
        <v>2.3174971031286211E-3</v>
      </c>
      <c r="W31" s="7">
        <v>1</v>
      </c>
      <c r="X31" s="11">
        <f t="shared" si="11"/>
        <v>5.7937427578215526E-4</v>
      </c>
      <c r="Y31" s="7">
        <v>25</v>
      </c>
      <c r="Z31" s="9">
        <f t="shared" si="12"/>
        <v>1.4484356894553883E-2</v>
      </c>
    </row>
    <row r="32" spans="1:26" x14ac:dyDescent="0.2">
      <c r="A32" s="3">
        <v>38</v>
      </c>
      <c r="B32" s="3" t="s">
        <v>34</v>
      </c>
      <c r="C32" s="3">
        <v>122</v>
      </c>
      <c r="D32" s="3">
        <v>1291</v>
      </c>
      <c r="E32" s="4">
        <f t="shared" si="1"/>
        <v>554.4291247095274</v>
      </c>
      <c r="F32" s="9">
        <f t="shared" si="2"/>
        <v>0.42945710666888259</v>
      </c>
      <c r="G32" s="7">
        <v>261</v>
      </c>
      <c r="H32" s="11">
        <f t="shared" si="3"/>
        <v>0.20216886134779241</v>
      </c>
      <c r="I32" s="7">
        <v>168</v>
      </c>
      <c r="J32" s="11">
        <f t="shared" si="4"/>
        <v>0.13013168086754454</v>
      </c>
      <c r="K32" s="7">
        <v>51</v>
      </c>
      <c r="L32" s="11">
        <f t="shared" si="5"/>
        <v>3.9504260263361735E-2</v>
      </c>
      <c r="M32" s="7">
        <v>13</v>
      </c>
      <c r="N32" s="11">
        <f t="shared" si="6"/>
        <v>1.0069713400464756E-2</v>
      </c>
      <c r="O32" s="7"/>
      <c r="P32" s="11">
        <f t="shared" si="7"/>
        <v>0</v>
      </c>
      <c r="Q32" s="8">
        <f t="shared" si="0"/>
        <v>64</v>
      </c>
      <c r="R32" s="12">
        <f t="shared" si="8"/>
        <v>4.9573973663826494E-2</v>
      </c>
      <c r="S32" s="7">
        <v>46</v>
      </c>
      <c r="T32" s="11">
        <f t="shared" si="9"/>
        <v>3.5631293570875293E-2</v>
      </c>
      <c r="U32" s="7">
        <v>15</v>
      </c>
      <c r="V32" s="11">
        <f t="shared" si="10"/>
        <v>1.1618900077459334E-2</v>
      </c>
      <c r="W32" s="7">
        <v>0</v>
      </c>
      <c r="X32" s="11">
        <f t="shared" si="11"/>
        <v>0</v>
      </c>
      <c r="Y32" s="7">
        <v>0</v>
      </c>
      <c r="Z32" s="9">
        <f t="shared" si="12"/>
        <v>0</v>
      </c>
    </row>
    <row r="33" spans="1:26" x14ac:dyDescent="0.2">
      <c r="A33" s="3">
        <v>39</v>
      </c>
      <c r="B33" s="3" t="s">
        <v>35</v>
      </c>
      <c r="C33" s="3">
        <v>102</v>
      </c>
      <c r="D33" s="3">
        <v>953</v>
      </c>
      <c r="E33" s="4">
        <f t="shared" si="1"/>
        <v>337.33368310598109</v>
      </c>
      <c r="F33" s="9">
        <f t="shared" si="2"/>
        <v>0.3539702865750064</v>
      </c>
      <c r="G33" s="7">
        <v>187</v>
      </c>
      <c r="H33" s="11">
        <f t="shared" si="3"/>
        <v>0.19622245540398742</v>
      </c>
      <c r="I33" s="7">
        <v>42</v>
      </c>
      <c r="J33" s="11">
        <f t="shared" si="4"/>
        <v>4.4071353620146907E-2</v>
      </c>
      <c r="K33" s="7">
        <v>40</v>
      </c>
      <c r="L33" s="11">
        <f t="shared" si="5"/>
        <v>4.197271773347324E-2</v>
      </c>
      <c r="M33" s="7">
        <v>18</v>
      </c>
      <c r="N33" s="11">
        <f t="shared" si="6"/>
        <v>1.888772298006296E-2</v>
      </c>
      <c r="O33" s="7"/>
      <c r="P33" s="11">
        <f t="shared" si="7"/>
        <v>0</v>
      </c>
      <c r="Q33" s="8">
        <f t="shared" si="0"/>
        <v>58</v>
      </c>
      <c r="R33" s="12">
        <f t="shared" si="8"/>
        <v>6.0860440713536204E-2</v>
      </c>
      <c r="S33" s="7">
        <v>23</v>
      </c>
      <c r="T33" s="11">
        <f t="shared" si="9"/>
        <v>2.4134312696747113E-2</v>
      </c>
      <c r="U33" s="7">
        <v>8</v>
      </c>
      <c r="V33" s="11">
        <f t="shared" si="10"/>
        <v>8.3945435466946487E-3</v>
      </c>
      <c r="W33" s="7">
        <v>0</v>
      </c>
      <c r="X33" s="11">
        <f t="shared" si="11"/>
        <v>0</v>
      </c>
      <c r="Y33" s="7">
        <v>19</v>
      </c>
      <c r="Z33" s="9">
        <f t="shared" si="12"/>
        <v>1.993704092339979E-2</v>
      </c>
    </row>
    <row r="34" spans="1:26" x14ac:dyDescent="0.2">
      <c r="A34" s="3">
        <v>40</v>
      </c>
      <c r="B34" s="3" t="s">
        <v>36</v>
      </c>
      <c r="C34" s="3">
        <v>114</v>
      </c>
      <c r="D34" s="3">
        <v>1055</v>
      </c>
      <c r="E34" s="4">
        <f t="shared" si="1"/>
        <v>434.39052132701426</v>
      </c>
      <c r="F34" s="9">
        <f t="shared" si="2"/>
        <v>0.41174456997821257</v>
      </c>
      <c r="G34" s="7">
        <v>209</v>
      </c>
      <c r="H34" s="11">
        <f t="shared" si="3"/>
        <v>0.19810426540284359</v>
      </c>
      <c r="I34" s="7">
        <v>100</v>
      </c>
      <c r="J34" s="11">
        <f t="shared" si="4"/>
        <v>9.4786729857819899E-2</v>
      </c>
      <c r="K34" s="7">
        <v>45</v>
      </c>
      <c r="L34" s="11">
        <f t="shared" si="5"/>
        <v>4.2654028436018961E-2</v>
      </c>
      <c r="M34" s="7">
        <v>11</v>
      </c>
      <c r="N34" s="11">
        <f t="shared" si="6"/>
        <v>1.042654028436019E-2</v>
      </c>
      <c r="O34" s="7"/>
      <c r="P34" s="11">
        <f t="shared" si="7"/>
        <v>0</v>
      </c>
      <c r="Q34" s="8">
        <f t="shared" si="0"/>
        <v>56</v>
      </c>
      <c r="R34" s="12">
        <f t="shared" si="8"/>
        <v>5.3080568720379147E-2</v>
      </c>
      <c r="S34" s="7">
        <v>30</v>
      </c>
      <c r="T34" s="11">
        <f t="shared" si="9"/>
        <v>2.843601895734597E-2</v>
      </c>
      <c r="U34" s="7">
        <v>15</v>
      </c>
      <c r="V34" s="11">
        <f t="shared" si="10"/>
        <v>1.4218009478672985E-2</v>
      </c>
      <c r="W34" s="7">
        <v>2</v>
      </c>
      <c r="X34" s="11">
        <f t="shared" si="11"/>
        <v>1.8957345971563982E-3</v>
      </c>
      <c r="Y34" s="7">
        <v>22</v>
      </c>
      <c r="Z34" s="9">
        <f t="shared" si="12"/>
        <v>2.0853080568720379E-2</v>
      </c>
    </row>
    <row r="35" spans="1:26" x14ac:dyDescent="0.2">
      <c r="A35" s="3">
        <v>41</v>
      </c>
      <c r="B35" s="3" t="s">
        <v>37</v>
      </c>
      <c r="C35" s="3">
        <v>120</v>
      </c>
      <c r="D35" s="3">
        <v>450</v>
      </c>
      <c r="E35" s="4">
        <f t="shared" si="1"/>
        <v>139.30222222222218</v>
      </c>
      <c r="F35" s="9">
        <f t="shared" si="2"/>
        <v>0.30956049382716039</v>
      </c>
      <c r="G35" s="7">
        <v>93</v>
      </c>
      <c r="H35" s="11">
        <f t="shared" si="3"/>
        <v>0.20666666666666667</v>
      </c>
      <c r="I35" s="7">
        <v>21</v>
      </c>
      <c r="J35" s="11">
        <f t="shared" si="4"/>
        <v>4.6666666666666669E-2</v>
      </c>
      <c r="K35" s="7">
        <v>0</v>
      </c>
      <c r="L35" s="11">
        <f t="shared" si="5"/>
        <v>0</v>
      </c>
      <c r="M35" s="7">
        <v>0</v>
      </c>
      <c r="N35" s="11">
        <f t="shared" si="6"/>
        <v>0</v>
      </c>
      <c r="O35" s="7">
        <v>0</v>
      </c>
      <c r="P35" s="11">
        <f t="shared" si="7"/>
        <v>0</v>
      </c>
      <c r="Q35" s="8">
        <f t="shared" si="0"/>
        <v>0</v>
      </c>
      <c r="R35" s="12">
        <f t="shared" si="8"/>
        <v>0</v>
      </c>
      <c r="S35" s="7">
        <v>13</v>
      </c>
      <c r="T35" s="11">
        <f t="shared" si="9"/>
        <v>2.8888888888888888E-2</v>
      </c>
      <c r="U35" s="7">
        <v>8</v>
      </c>
      <c r="V35" s="11">
        <f t="shared" si="10"/>
        <v>1.7777777777777778E-2</v>
      </c>
      <c r="W35" s="7">
        <v>1</v>
      </c>
      <c r="X35" s="11">
        <f t="shared" si="11"/>
        <v>2.2222222222222222E-3</v>
      </c>
      <c r="Y35" s="7">
        <v>3</v>
      </c>
      <c r="Z35" s="9">
        <f t="shared" si="12"/>
        <v>6.6666666666666671E-3</v>
      </c>
    </row>
    <row r="36" spans="1:26" x14ac:dyDescent="0.2">
      <c r="A36" s="3">
        <v>43</v>
      </c>
      <c r="B36" s="3" t="s">
        <v>38</v>
      </c>
      <c r="C36" s="3">
        <v>111</v>
      </c>
      <c r="D36" s="3">
        <v>383</v>
      </c>
      <c r="E36" s="4">
        <f t="shared" si="1"/>
        <v>173.45169712793734</v>
      </c>
      <c r="F36" s="9">
        <f t="shared" si="2"/>
        <v>0.45287649380662492</v>
      </c>
      <c r="G36" s="7">
        <v>75</v>
      </c>
      <c r="H36" s="11">
        <f t="shared" si="3"/>
        <v>0.195822454308094</v>
      </c>
      <c r="I36" s="7">
        <v>88</v>
      </c>
      <c r="J36" s="11">
        <f t="shared" si="4"/>
        <v>0.2297650130548303</v>
      </c>
      <c r="K36" s="7"/>
      <c r="L36" s="11">
        <f t="shared" si="5"/>
        <v>0</v>
      </c>
      <c r="M36" s="7"/>
      <c r="N36" s="11">
        <f t="shared" si="6"/>
        <v>0</v>
      </c>
      <c r="O36" s="7"/>
      <c r="P36" s="11">
        <f t="shared" si="7"/>
        <v>0</v>
      </c>
      <c r="Q36" s="8">
        <f t="shared" si="0"/>
        <v>0</v>
      </c>
      <c r="R36" s="12">
        <f t="shared" si="8"/>
        <v>0</v>
      </c>
      <c r="S36" s="7">
        <v>7</v>
      </c>
      <c r="T36" s="11">
        <f t="shared" si="9"/>
        <v>1.8276762402088774E-2</v>
      </c>
      <c r="U36" s="7">
        <v>1</v>
      </c>
      <c r="V36" s="11">
        <f t="shared" si="10"/>
        <v>2.6109660574412533E-3</v>
      </c>
      <c r="W36" s="7">
        <v>2</v>
      </c>
      <c r="X36" s="11">
        <f t="shared" si="11"/>
        <v>5.2219321148825066E-3</v>
      </c>
      <c r="Y36" s="7"/>
      <c r="Z36" s="9">
        <f t="shared" si="12"/>
        <v>0</v>
      </c>
    </row>
    <row r="37" spans="1:26" x14ac:dyDescent="0.2">
      <c r="A37" s="3">
        <v>51</v>
      </c>
      <c r="B37" s="3" t="s">
        <v>39</v>
      </c>
      <c r="C37" s="3">
        <v>106</v>
      </c>
      <c r="D37" s="3">
        <v>4203</v>
      </c>
      <c r="E37" s="4">
        <f t="shared" si="1"/>
        <v>1778.4175588865096</v>
      </c>
      <c r="F37" s="9">
        <f t="shared" si="2"/>
        <v>0.42313051603295493</v>
      </c>
      <c r="G37" s="7">
        <v>733</v>
      </c>
      <c r="H37" s="11">
        <f t="shared" si="3"/>
        <v>0.17439923863906734</v>
      </c>
      <c r="I37" s="7">
        <v>578</v>
      </c>
      <c r="J37" s="11">
        <f t="shared" si="4"/>
        <v>0.13752081846300263</v>
      </c>
      <c r="K37" s="7">
        <v>192</v>
      </c>
      <c r="L37" s="11">
        <f t="shared" si="5"/>
        <v>4.5681655960028551E-2</v>
      </c>
      <c r="M37" s="7">
        <v>98</v>
      </c>
      <c r="N37" s="11">
        <f t="shared" si="6"/>
        <v>2.331667856293124E-2</v>
      </c>
      <c r="O37" s="7">
        <v>0</v>
      </c>
      <c r="P37" s="11">
        <f t="shared" si="7"/>
        <v>0</v>
      </c>
      <c r="Q37" s="8">
        <f t="shared" si="0"/>
        <v>290</v>
      </c>
      <c r="R37" s="12">
        <f t="shared" si="8"/>
        <v>6.8998334522959795E-2</v>
      </c>
      <c r="S37" s="7">
        <v>113</v>
      </c>
      <c r="T37" s="11">
        <f t="shared" si="9"/>
        <v>2.6885557934808471E-2</v>
      </c>
      <c r="U37" s="7">
        <v>41</v>
      </c>
      <c r="V37" s="11">
        <f t="shared" si="10"/>
        <v>9.7549369497977635E-3</v>
      </c>
      <c r="W37" s="7">
        <v>0</v>
      </c>
      <c r="X37" s="11">
        <f t="shared" si="11"/>
        <v>0</v>
      </c>
      <c r="Y37" s="7">
        <v>23</v>
      </c>
      <c r="Z37" s="9">
        <f t="shared" si="12"/>
        <v>5.4722817035450866E-3</v>
      </c>
    </row>
    <row r="38" spans="1:26" x14ac:dyDescent="0.2">
      <c r="A38" s="3">
        <v>52</v>
      </c>
      <c r="B38" s="3" t="s">
        <v>40</v>
      </c>
      <c r="C38" s="3">
        <v>109</v>
      </c>
      <c r="D38" s="3">
        <v>11931</v>
      </c>
      <c r="E38" s="4">
        <f t="shared" si="1"/>
        <v>3384.278853407091</v>
      </c>
      <c r="F38" s="9">
        <f t="shared" si="2"/>
        <v>0.28365424971981318</v>
      </c>
      <c r="G38" s="7">
        <v>1486</v>
      </c>
      <c r="H38" s="11">
        <f t="shared" si="3"/>
        <v>0.12454949291760958</v>
      </c>
      <c r="I38" s="7">
        <v>1189</v>
      </c>
      <c r="J38" s="11">
        <f t="shared" si="4"/>
        <v>9.9656357388316158E-2</v>
      </c>
      <c r="K38" s="7">
        <v>341</v>
      </c>
      <c r="L38" s="11">
        <f t="shared" si="5"/>
        <v>2.8581007459559132E-2</v>
      </c>
      <c r="M38" s="7">
        <v>109</v>
      </c>
      <c r="N38" s="11">
        <f t="shared" si="6"/>
        <v>9.1358645545218334E-3</v>
      </c>
      <c r="O38" s="7"/>
      <c r="P38" s="11">
        <f t="shared" si="7"/>
        <v>0</v>
      </c>
      <c r="Q38" s="8">
        <f t="shared" si="0"/>
        <v>450</v>
      </c>
      <c r="R38" s="12">
        <f t="shared" si="8"/>
        <v>3.7716872014080964E-2</v>
      </c>
      <c r="S38" s="7">
        <v>155</v>
      </c>
      <c r="T38" s="11">
        <f t="shared" si="9"/>
        <v>1.2991367027072332E-2</v>
      </c>
      <c r="U38" s="7">
        <v>45</v>
      </c>
      <c r="V38" s="11">
        <f t="shared" si="10"/>
        <v>3.7716872014080965E-3</v>
      </c>
      <c r="W38" s="7">
        <v>2</v>
      </c>
      <c r="X38" s="11">
        <f t="shared" si="11"/>
        <v>1.6763054228480429E-4</v>
      </c>
      <c r="Y38" s="7">
        <v>57</v>
      </c>
      <c r="Z38" s="9">
        <f t="shared" si="12"/>
        <v>4.7774704551169223E-3</v>
      </c>
    </row>
    <row r="39" spans="1:26" x14ac:dyDescent="0.2">
      <c r="A39" s="3">
        <v>53</v>
      </c>
      <c r="B39" s="3" t="s">
        <v>41</v>
      </c>
      <c r="C39" s="3">
        <v>110</v>
      </c>
      <c r="D39" s="3">
        <v>21973</v>
      </c>
      <c r="E39" s="4">
        <f t="shared" si="1"/>
        <v>8161.3654940153829</v>
      </c>
      <c r="F39" s="9">
        <f t="shared" si="2"/>
        <v>0.37142700104743925</v>
      </c>
      <c r="G39" s="7">
        <v>3989</v>
      </c>
      <c r="H39" s="11">
        <f t="shared" si="3"/>
        <v>0.18154098211441314</v>
      </c>
      <c r="I39" s="7">
        <v>2155</v>
      </c>
      <c r="J39" s="11">
        <f t="shared" si="4"/>
        <v>9.8074910116961719E-2</v>
      </c>
      <c r="K39" s="7">
        <v>766</v>
      </c>
      <c r="L39" s="11">
        <f t="shared" si="5"/>
        <v>3.4860965730669456E-2</v>
      </c>
      <c r="M39" s="7">
        <v>388</v>
      </c>
      <c r="N39" s="11">
        <f t="shared" si="6"/>
        <v>1.7658034860965732E-2</v>
      </c>
      <c r="O39" s="7"/>
      <c r="P39" s="11">
        <f t="shared" si="7"/>
        <v>0</v>
      </c>
      <c r="Q39" s="8">
        <f t="shared" si="0"/>
        <v>1154</v>
      </c>
      <c r="R39" s="12">
        <f t="shared" si="8"/>
        <v>5.2519000591635188E-2</v>
      </c>
      <c r="S39" s="7">
        <v>616</v>
      </c>
      <c r="T39" s="11">
        <f t="shared" si="9"/>
        <v>2.8034405861739407E-2</v>
      </c>
      <c r="U39" s="7">
        <v>113</v>
      </c>
      <c r="V39" s="11">
        <f t="shared" si="10"/>
        <v>5.1426751012606381E-3</v>
      </c>
      <c r="W39" s="7">
        <v>4</v>
      </c>
      <c r="X39" s="11">
        <f t="shared" si="11"/>
        <v>1.8204159650480134E-4</v>
      </c>
      <c r="Y39" s="7">
        <v>130</v>
      </c>
      <c r="Z39" s="9">
        <f t="shared" si="12"/>
        <v>5.9163518864060434E-3</v>
      </c>
    </row>
    <row r="40" spans="1:26" x14ac:dyDescent="0.2">
      <c r="A40" s="3">
        <v>54</v>
      </c>
      <c r="B40" s="3" t="s">
        <v>42</v>
      </c>
      <c r="C40" s="3">
        <v>92</v>
      </c>
      <c r="D40" s="3">
        <v>7867</v>
      </c>
      <c r="E40" s="4">
        <f t="shared" si="1"/>
        <v>2106.2677005211644</v>
      </c>
      <c r="F40" s="9">
        <f t="shared" si="2"/>
        <v>0.26773454944974762</v>
      </c>
      <c r="G40" s="7">
        <v>879</v>
      </c>
      <c r="H40" s="11">
        <f t="shared" si="3"/>
        <v>0.11173255370535147</v>
      </c>
      <c r="I40" s="7">
        <v>946</v>
      </c>
      <c r="J40" s="11">
        <f t="shared" si="4"/>
        <v>0.12024914198550909</v>
      </c>
      <c r="K40" s="7">
        <v>161</v>
      </c>
      <c r="L40" s="11">
        <f t="shared" si="5"/>
        <v>2.0465234523960849E-2</v>
      </c>
      <c r="M40" s="7">
        <v>23</v>
      </c>
      <c r="N40" s="11">
        <f t="shared" si="6"/>
        <v>2.9236049319944072E-3</v>
      </c>
      <c r="O40" s="7"/>
      <c r="P40" s="11">
        <f t="shared" si="7"/>
        <v>0</v>
      </c>
      <c r="Q40" s="8">
        <f t="shared" si="0"/>
        <v>184</v>
      </c>
      <c r="R40" s="12">
        <f t="shared" si="8"/>
        <v>2.3388839455955258E-2</v>
      </c>
      <c r="S40" s="7">
        <v>87</v>
      </c>
      <c r="T40" s="11">
        <f t="shared" si="9"/>
        <v>1.1058853438413627E-2</v>
      </c>
      <c r="U40" s="7">
        <v>10</v>
      </c>
      <c r="V40" s="11">
        <f t="shared" si="10"/>
        <v>1.2711325791280031E-3</v>
      </c>
      <c r="W40" s="7"/>
      <c r="X40" s="11">
        <f t="shared" si="11"/>
        <v>0</v>
      </c>
      <c r="Y40" s="7"/>
      <c r="Z40" s="9">
        <f t="shared" si="12"/>
        <v>0</v>
      </c>
    </row>
    <row r="41" spans="1:26" x14ac:dyDescent="0.2">
      <c r="A41" s="3">
        <v>55</v>
      </c>
      <c r="B41" s="3" t="s">
        <v>43</v>
      </c>
      <c r="C41" s="3">
        <v>113</v>
      </c>
      <c r="D41" s="3">
        <v>5499</v>
      </c>
      <c r="E41" s="4">
        <f t="shared" si="1"/>
        <v>2071.348790689216</v>
      </c>
      <c r="F41" s="9">
        <f t="shared" si="2"/>
        <v>0.37667735782673506</v>
      </c>
      <c r="G41" s="7">
        <v>939</v>
      </c>
      <c r="H41" s="11">
        <f t="shared" si="3"/>
        <v>0.1707583196944899</v>
      </c>
      <c r="I41" s="7">
        <v>373</v>
      </c>
      <c r="J41" s="11">
        <f t="shared" si="4"/>
        <v>6.7830514639025272E-2</v>
      </c>
      <c r="K41" s="7">
        <v>235</v>
      </c>
      <c r="L41" s="11">
        <f t="shared" si="5"/>
        <v>4.2735042735042736E-2</v>
      </c>
      <c r="M41" s="7">
        <v>130</v>
      </c>
      <c r="N41" s="11">
        <f t="shared" si="6"/>
        <v>2.3640661938534278E-2</v>
      </c>
      <c r="O41" s="7"/>
      <c r="P41" s="11">
        <f t="shared" si="7"/>
        <v>0</v>
      </c>
      <c r="Q41" s="8">
        <f t="shared" si="0"/>
        <v>365</v>
      </c>
      <c r="R41" s="12">
        <f t="shared" si="8"/>
        <v>6.6375704673577007E-2</v>
      </c>
      <c r="S41" s="7">
        <v>180</v>
      </c>
      <c r="T41" s="11">
        <f t="shared" si="9"/>
        <v>3.2733224222585927E-2</v>
      </c>
      <c r="U41" s="7">
        <v>58</v>
      </c>
      <c r="V41" s="11">
        <f t="shared" si="10"/>
        <v>1.054737224949991E-2</v>
      </c>
      <c r="W41" s="7">
        <v>3</v>
      </c>
      <c r="X41" s="11">
        <f t="shared" si="11"/>
        <v>5.455537370430987E-4</v>
      </c>
      <c r="Y41" s="7">
        <v>153</v>
      </c>
      <c r="Z41" s="9">
        <f t="shared" si="12"/>
        <v>2.7823240589198037E-2</v>
      </c>
    </row>
    <row r="42" spans="1:26" x14ac:dyDescent="0.2">
      <c r="A42" s="3">
        <v>56</v>
      </c>
      <c r="B42" s="3" t="s">
        <v>44</v>
      </c>
      <c r="C42" s="3">
        <v>118</v>
      </c>
      <c r="D42" s="3">
        <v>9600</v>
      </c>
      <c r="E42" s="4">
        <f t="shared" si="1"/>
        <v>3811.3939583333331</v>
      </c>
      <c r="F42" s="9">
        <f t="shared" si="2"/>
        <v>0.39702020399305554</v>
      </c>
      <c r="G42" s="7">
        <v>1688</v>
      </c>
      <c r="H42" s="11">
        <f t="shared" si="3"/>
        <v>0.17583333333333334</v>
      </c>
      <c r="I42" s="7">
        <v>1141</v>
      </c>
      <c r="J42" s="11">
        <f t="shared" si="4"/>
        <v>0.11885416666666666</v>
      </c>
      <c r="K42" s="7">
        <v>369</v>
      </c>
      <c r="L42" s="11">
        <f t="shared" si="5"/>
        <v>3.8437499999999999E-2</v>
      </c>
      <c r="M42" s="7">
        <v>186</v>
      </c>
      <c r="N42" s="11">
        <f t="shared" si="6"/>
        <v>1.9375E-2</v>
      </c>
      <c r="O42" s="7"/>
      <c r="P42" s="11">
        <f t="shared" si="7"/>
        <v>0</v>
      </c>
      <c r="Q42" s="8">
        <f t="shared" si="0"/>
        <v>555</v>
      </c>
      <c r="R42" s="12">
        <f t="shared" si="8"/>
        <v>5.7812500000000003E-2</v>
      </c>
      <c r="S42" s="7">
        <v>354</v>
      </c>
      <c r="T42" s="11">
        <f t="shared" si="9"/>
        <v>3.6874999999999998E-2</v>
      </c>
      <c r="U42" s="7">
        <v>43</v>
      </c>
      <c r="V42" s="11">
        <f t="shared" si="10"/>
        <v>4.4791666666666669E-3</v>
      </c>
      <c r="W42" s="7">
        <v>1</v>
      </c>
      <c r="X42" s="11">
        <f t="shared" si="11"/>
        <v>1.0416666666666667E-4</v>
      </c>
      <c r="Y42" s="7">
        <v>29</v>
      </c>
      <c r="Z42" s="9">
        <f t="shared" si="12"/>
        <v>3.0208333333333333E-3</v>
      </c>
    </row>
    <row r="43" spans="1:26" x14ac:dyDescent="0.2">
      <c r="A43" s="3">
        <v>57</v>
      </c>
      <c r="B43" s="3" t="s">
        <v>45</v>
      </c>
      <c r="C43" s="3">
        <v>99</v>
      </c>
      <c r="D43" s="3">
        <v>2398</v>
      </c>
      <c r="E43" s="4">
        <f t="shared" si="1"/>
        <v>965.39699749791498</v>
      </c>
      <c r="F43" s="9">
        <f t="shared" si="2"/>
        <v>0.40258423582064845</v>
      </c>
      <c r="G43" s="7">
        <v>346</v>
      </c>
      <c r="H43" s="11">
        <f t="shared" si="3"/>
        <v>0.14428690575479566</v>
      </c>
      <c r="I43" s="7">
        <v>373</v>
      </c>
      <c r="J43" s="11">
        <f t="shared" si="4"/>
        <v>0.1555462885738115</v>
      </c>
      <c r="K43" s="7">
        <v>100</v>
      </c>
      <c r="L43" s="11">
        <f t="shared" si="5"/>
        <v>4.1701417848206836E-2</v>
      </c>
      <c r="M43" s="7">
        <v>49</v>
      </c>
      <c r="N43" s="11">
        <f t="shared" si="6"/>
        <v>2.0433694745621352E-2</v>
      </c>
      <c r="O43" s="7">
        <v>0</v>
      </c>
      <c r="P43" s="11">
        <f t="shared" si="7"/>
        <v>0</v>
      </c>
      <c r="Q43" s="8">
        <f t="shared" si="0"/>
        <v>149</v>
      </c>
      <c r="R43" s="12">
        <f t="shared" si="8"/>
        <v>6.2135112593828187E-2</v>
      </c>
      <c r="S43" s="7">
        <v>61</v>
      </c>
      <c r="T43" s="11">
        <f t="shared" si="9"/>
        <v>2.543786488740617E-2</v>
      </c>
      <c r="U43" s="7">
        <v>22</v>
      </c>
      <c r="V43" s="11">
        <f t="shared" si="10"/>
        <v>9.1743119266055051E-3</v>
      </c>
      <c r="W43" s="7">
        <v>1</v>
      </c>
      <c r="X43" s="11">
        <f t="shared" si="11"/>
        <v>4.1701417848206837E-4</v>
      </c>
      <c r="Y43" s="7">
        <v>13</v>
      </c>
      <c r="Z43" s="9">
        <f t="shared" si="12"/>
        <v>5.4211843202668893E-3</v>
      </c>
    </row>
    <row r="44" spans="1:26" x14ac:dyDescent="0.2">
      <c r="A44" s="3">
        <v>58</v>
      </c>
      <c r="B44" s="3" t="s">
        <v>46</v>
      </c>
      <c r="C44" s="3">
        <v>115</v>
      </c>
      <c r="D44" s="3">
        <v>5273</v>
      </c>
      <c r="E44" s="4">
        <f t="shared" si="1"/>
        <v>2191.3859283140523</v>
      </c>
      <c r="F44" s="9">
        <f t="shared" si="2"/>
        <v>0.41558618022265359</v>
      </c>
      <c r="G44" s="7">
        <v>1022</v>
      </c>
      <c r="H44" s="11">
        <f t="shared" si="3"/>
        <v>0.19381756116062962</v>
      </c>
      <c r="I44" s="7">
        <v>509</v>
      </c>
      <c r="J44" s="11">
        <f t="shared" si="4"/>
        <v>9.6529489853973069E-2</v>
      </c>
      <c r="K44" s="7">
        <v>161</v>
      </c>
      <c r="L44" s="11">
        <f t="shared" si="5"/>
        <v>3.0532903470510145E-2</v>
      </c>
      <c r="M44" s="7">
        <v>90</v>
      </c>
      <c r="N44" s="11">
        <f t="shared" si="6"/>
        <v>1.7068082685378343E-2</v>
      </c>
      <c r="O44" s="7"/>
      <c r="P44" s="11">
        <f t="shared" si="7"/>
        <v>0</v>
      </c>
      <c r="Q44" s="8">
        <f t="shared" si="0"/>
        <v>251</v>
      </c>
      <c r="R44" s="12">
        <f t="shared" si="8"/>
        <v>4.7600986155888488E-2</v>
      </c>
      <c r="S44" s="7">
        <v>160</v>
      </c>
      <c r="T44" s="11">
        <f t="shared" si="9"/>
        <v>3.0343258107339274E-2</v>
      </c>
      <c r="U44" s="7">
        <v>90</v>
      </c>
      <c r="V44" s="11">
        <f t="shared" si="10"/>
        <v>1.7068082685378343E-2</v>
      </c>
      <c r="W44" s="7">
        <v>3</v>
      </c>
      <c r="X44" s="11">
        <f t="shared" si="11"/>
        <v>5.6893608951261144E-4</v>
      </c>
      <c r="Y44" s="7">
        <v>156</v>
      </c>
      <c r="Z44" s="9">
        <f t="shared" si="12"/>
        <v>2.9584676654655792E-2</v>
      </c>
    </row>
    <row r="45" spans="1:26" x14ac:dyDescent="0.2">
      <c r="A45" s="3">
        <v>59</v>
      </c>
      <c r="B45" s="3" t="s">
        <v>47</v>
      </c>
      <c r="C45" s="3">
        <v>116</v>
      </c>
      <c r="D45" s="3">
        <v>2019</v>
      </c>
      <c r="E45" s="4">
        <f t="shared" si="1"/>
        <v>874.43288756810307</v>
      </c>
      <c r="F45" s="9">
        <f t="shared" si="2"/>
        <v>0.43310197502134873</v>
      </c>
      <c r="G45" s="7">
        <v>367</v>
      </c>
      <c r="H45" s="11">
        <f t="shared" si="3"/>
        <v>0.1817731550272412</v>
      </c>
      <c r="I45" s="7">
        <v>251</v>
      </c>
      <c r="J45" s="11">
        <f t="shared" si="4"/>
        <v>0.12431896978702328</v>
      </c>
      <c r="K45" s="7">
        <v>105</v>
      </c>
      <c r="L45" s="11">
        <f t="shared" si="5"/>
        <v>5.2005943536404163E-2</v>
      </c>
      <c r="M45" s="7">
        <v>42</v>
      </c>
      <c r="N45" s="11">
        <f t="shared" si="6"/>
        <v>2.0802377414561663E-2</v>
      </c>
      <c r="O45" s="7">
        <v>0</v>
      </c>
      <c r="P45" s="11">
        <f t="shared" si="7"/>
        <v>0</v>
      </c>
      <c r="Q45" s="8">
        <f t="shared" si="0"/>
        <v>147</v>
      </c>
      <c r="R45" s="12">
        <f t="shared" si="8"/>
        <v>7.280832095096583E-2</v>
      </c>
      <c r="S45" s="7">
        <v>82</v>
      </c>
      <c r="T45" s="11">
        <f t="shared" si="9"/>
        <v>4.0614165428429917E-2</v>
      </c>
      <c r="U45" s="7">
        <v>26</v>
      </c>
      <c r="V45" s="11">
        <f t="shared" si="10"/>
        <v>1.2877662209014363E-2</v>
      </c>
      <c r="W45" s="7">
        <v>1</v>
      </c>
      <c r="X45" s="11">
        <f t="shared" si="11"/>
        <v>4.9529470034670627E-4</v>
      </c>
      <c r="Y45" s="7"/>
      <c r="Z45" s="9">
        <f t="shared" si="12"/>
        <v>0</v>
      </c>
    </row>
    <row r="46" spans="1:26" x14ac:dyDescent="0.2">
      <c r="A46" s="3">
        <v>60</v>
      </c>
      <c r="B46" s="3" t="s">
        <v>48</v>
      </c>
      <c r="C46" s="3">
        <v>117</v>
      </c>
      <c r="D46" s="3">
        <v>2957</v>
      </c>
      <c r="E46" s="4">
        <f t="shared" si="1"/>
        <v>1236.4078457896517</v>
      </c>
      <c r="F46" s="9">
        <f t="shared" si="2"/>
        <v>0.41812913283383552</v>
      </c>
      <c r="G46" s="7">
        <v>526</v>
      </c>
      <c r="H46" s="11">
        <f t="shared" si="3"/>
        <v>0.17788298951640175</v>
      </c>
      <c r="I46" s="7">
        <v>383</v>
      </c>
      <c r="J46" s="11">
        <f t="shared" si="4"/>
        <v>0.12952316537030775</v>
      </c>
      <c r="K46" s="7">
        <v>154</v>
      </c>
      <c r="L46" s="11">
        <f t="shared" si="5"/>
        <v>5.207981061887048E-2</v>
      </c>
      <c r="M46" s="7">
        <v>55</v>
      </c>
      <c r="N46" s="11">
        <f t="shared" si="6"/>
        <v>1.8599932363882313E-2</v>
      </c>
      <c r="O46" s="7"/>
      <c r="P46" s="11">
        <f t="shared" si="7"/>
        <v>0</v>
      </c>
      <c r="Q46" s="8">
        <f t="shared" si="0"/>
        <v>209</v>
      </c>
      <c r="R46" s="12">
        <f t="shared" si="8"/>
        <v>7.0679742982752786E-2</v>
      </c>
      <c r="S46" s="7">
        <v>72</v>
      </c>
      <c r="T46" s="11">
        <f t="shared" si="9"/>
        <v>2.434900236726412E-2</v>
      </c>
      <c r="U46" s="7">
        <v>16</v>
      </c>
      <c r="V46" s="11">
        <f t="shared" si="10"/>
        <v>5.4108894149475818E-3</v>
      </c>
      <c r="W46" s="7">
        <v>0</v>
      </c>
      <c r="X46" s="11">
        <f t="shared" si="11"/>
        <v>0</v>
      </c>
      <c r="Y46" s="7">
        <v>30</v>
      </c>
      <c r="Z46" s="9">
        <f t="shared" si="12"/>
        <v>1.0145417653026716E-2</v>
      </c>
    </row>
    <row r="47" spans="1:26" x14ac:dyDescent="0.2">
      <c r="A47" s="3">
        <v>61</v>
      </c>
      <c r="B47" s="3" t="s">
        <v>49</v>
      </c>
      <c r="C47" s="3">
        <v>104</v>
      </c>
      <c r="D47" s="3">
        <v>1066</v>
      </c>
      <c r="E47" s="4">
        <f t="shared" si="1"/>
        <v>371.34146341463412</v>
      </c>
      <c r="F47" s="9">
        <f t="shared" si="2"/>
        <v>0.3483503409142909</v>
      </c>
      <c r="G47" s="7">
        <v>198</v>
      </c>
      <c r="H47" s="11">
        <f t="shared" si="3"/>
        <v>0.18574108818011256</v>
      </c>
      <c r="I47" s="7">
        <v>69</v>
      </c>
      <c r="J47" s="11">
        <f t="shared" si="4"/>
        <v>6.4727954971857404E-2</v>
      </c>
      <c r="K47" s="7">
        <v>0</v>
      </c>
      <c r="L47" s="11">
        <f t="shared" si="5"/>
        <v>0</v>
      </c>
      <c r="M47" s="7">
        <v>0</v>
      </c>
      <c r="N47" s="11">
        <f t="shared" si="6"/>
        <v>0</v>
      </c>
      <c r="O47" s="7">
        <v>49</v>
      </c>
      <c r="P47" s="11">
        <f t="shared" si="7"/>
        <v>4.596622889305816E-2</v>
      </c>
      <c r="Q47" s="8">
        <f t="shared" si="0"/>
        <v>49</v>
      </c>
      <c r="R47" s="12">
        <f t="shared" si="8"/>
        <v>4.596622889305816E-2</v>
      </c>
      <c r="S47" s="7">
        <v>36</v>
      </c>
      <c r="T47" s="11">
        <f t="shared" si="9"/>
        <v>3.3771106941838651E-2</v>
      </c>
      <c r="U47" s="7">
        <v>12</v>
      </c>
      <c r="V47" s="11">
        <f t="shared" si="10"/>
        <v>1.125703564727955E-2</v>
      </c>
      <c r="W47" s="7"/>
      <c r="X47" s="11">
        <f t="shared" si="11"/>
        <v>0</v>
      </c>
      <c r="Y47" s="7">
        <v>7</v>
      </c>
      <c r="Z47" s="9">
        <f t="shared" si="12"/>
        <v>6.5666041275797378E-3</v>
      </c>
    </row>
    <row r="48" spans="1:26" x14ac:dyDescent="0.2">
      <c r="A48" s="3">
        <v>62</v>
      </c>
      <c r="B48" s="3" t="s">
        <v>50</v>
      </c>
      <c r="C48" s="3">
        <v>103</v>
      </c>
      <c r="D48" s="3">
        <v>20365</v>
      </c>
      <c r="E48" s="4">
        <f t="shared" si="1"/>
        <v>6416.3111220230785</v>
      </c>
      <c r="F48" s="9">
        <f t="shared" si="2"/>
        <v>0.31506560874161937</v>
      </c>
      <c r="G48" s="7">
        <v>3106</v>
      </c>
      <c r="H48" s="11">
        <f t="shared" si="3"/>
        <v>0.15251657255094525</v>
      </c>
      <c r="I48" s="7">
        <v>1640</v>
      </c>
      <c r="J48" s="11">
        <f t="shared" si="4"/>
        <v>8.0530321630247981E-2</v>
      </c>
      <c r="K48" s="7">
        <v>585</v>
      </c>
      <c r="L48" s="11">
        <f t="shared" si="5"/>
        <v>2.8725754971765282E-2</v>
      </c>
      <c r="M48" s="7">
        <v>290</v>
      </c>
      <c r="N48" s="11">
        <f t="shared" si="6"/>
        <v>1.4240117849251166E-2</v>
      </c>
      <c r="O48" s="7"/>
      <c r="P48" s="11">
        <f t="shared" si="7"/>
        <v>0</v>
      </c>
      <c r="Q48" s="8">
        <f t="shared" si="0"/>
        <v>875</v>
      </c>
      <c r="R48" s="12">
        <f t="shared" si="8"/>
        <v>4.2965872821016451E-2</v>
      </c>
      <c r="S48" s="7">
        <v>561</v>
      </c>
      <c r="T48" s="11">
        <f t="shared" si="9"/>
        <v>2.7547262460103118E-2</v>
      </c>
      <c r="U48" s="7">
        <v>148</v>
      </c>
      <c r="V48" s="11">
        <f t="shared" si="10"/>
        <v>7.2673704885833539E-3</v>
      </c>
      <c r="W48" s="7">
        <v>6</v>
      </c>
      <c r="X48" s="11">
        <f t="shared" si="11"/>
        <v>2.9462312791554137E-4</v>
      </c>
      <c r="Y48" s="7">
        <v>80</v>
      </c>
      <c r="Z48" s="9">
        <f t="shared" si="12"/>
        <v>3.9283083722072183E-3</v>
      </c>
    </row>
    <row r="49" spans="1:26" x14ac:dyDescent="0.2">
      <c r="A49" s="3">
        <v>63</v>
      </c>
      <c r="B49" s="3" t="s">
        <v>51</v>
      </c>
      <c r="C49" s="3">
        <v>89</v>
      </c>
      <c r="D49" s="3">
        <v>2561</v>
      </c>
      <c r="E49" s="4">
        <f t="shared" si="1"/>
        <v>790.30730183522064</v>
      </c>
      <c r="F49" s="9">
        <f t="shared" si="2"/>
        <v>0.3085932455428429</v>
      </c>
      <c r="G49" s="7">
        <v>390</v>
      </c>
      <c r="H49" s="11">
        <f t="shared" si="3"/>
        <v>0.15228426395939088</v>
      </c>
      <c r="I49" s="7">
        <v>248</v>
      </c>
      <c r="J49" s="11">
        <f t="shared" si="4"/>
        <v>9.6837172979304956E-2</v>
      </c>
      <c r="K49" s="7">
        <v>59</v>
      </c>
      <c r="L49" s="11">
        <f t="shared" si="5"/>
        <v>2.3037875829754001E-2</v>
      </c>
      <c r="M49" s="7">
        <v>28</v>
      </c>
      <c r="N49" s="11">
        <f t="shared" si="6"/>
        <v>1.0933229207340883E-2</v>
      </c>
      <c r="O49" s="7"/>
      <c r="P49" s="11">
        <f t="shared" si="7"/>
        <v>0</v>
      </c>
      <c r="Q49" s="8">
        <f t="shared" si="0"/>
        <v>87</v>
      </c>
      <c r="R49" s="12">
        <f t="shared" si="8"/>
        <v>3.3971105037094884E-2</v>
      </c>
      <c r="S49" s="7">
        <v>56</v>
      </c>
      <c r="T49" s="11">
        <f t="shared" si="9"/>
        <v>2.1866458414681766E-2</v>
      </c>
      <c r="U49" s="7">
        <v>5</v>
      </c>
      <c r="V49" s="11">
        <f t="shared" si="10"/>
        <v>1.952362358453729E-3</v>
      </c>
      <c r="W49" s="7">
        <v>1</v>
      </c>
      <c r="X49" s="11">
        <f t="shared" si="11"/>
        <v>3.9047247169074581E-4</v>
      </c>
      <c r="Y49" s="7">
        <v>3</v>
      </c>
      <c r="Z49" s="9">
        <f t="shared" si="12"/>
        <v>1.1714174150722373E-3</v>
      </c>
    </row>
    <row r="50" spans="1:26" x14ac:dyDescent="0.2">
      <c r="A50" s="3">
        <v>64</v>
      </c>
      <c r="B50" s="3" t="s">
        <v>52</v>
      </c>
      <c r="C50" s="3">
        <v>90</v>
      </c>
      <c r="D50" s="3">
        <v>5616</v>
      </c>
      <c r="E50" s="4">
        <f t="shared" si="1"/>
        <v>1759.313212250712</v>
      </c>
      <c r="F50" s="9">
        <f t="shared" si="2"/>
        <v>0.31326802212441451</v>
      </c>
      <c r="G50" s="7">
        <v>824</v>
      </c>
      <c r="H50" s="11">
        <f t="shared" si="3"/>
        <v>0.14672364672364671</v>
      </c>
      <c r="I50" s="7">
        <v>720</v>
      </c>
      <c r="J50" s="11">
        <f t="shared" si="4"/>
        <v>0.12820512820512819</v>
      </c>
      <c r="K50" s="7">
        <v>128</v>
      </c>
      <c r="L50" s="11">
        <f t="shared" si="5"/>
        <v>2.2792022792022793E-2</v>
      </c>
      <c r="M50" s="7"/>
      <c r="N50" s="11">
        <f t="shared" si="6"/>
        <v>0</v>
      </c>
      <c r="O50" s="7"/>
      <c r="P50" s="11">
        <f t="shared" si="7"/>
        <v>0</v>
      </c>
      <c r="Q50" s="8">
        <f t="shared" si="0"/>
        <v>128</v>
      </c>
      <c r="R50" s="12">
        <f t="shared" si="8"/>
        <v>2.2792022792022793E-2</v>
      </c>
      <c r="S50" s="7">
        <v>83</v>
      </c>
      <c r="T50" s="11">
        <f t="shared" si="9"/>
        <v>1.4779202279202279E-2</v>
      </c>
      <c r="U50" s="7">
        <v>4</v>
      </c>
      <c r="V50" s="11">
        <f t="shared" si="10"/>
        <v>7.1225071225071229E-4</v>
      </c>
      <c r="W50" s="7"/>
      <c r="X50" s="11">
        <f t="shared" si="11"/>
        <v>0</v>
      </c>
      <c r="Y50" s="7"/>
      <c r="Z50" s="9">
        <f t="shared" si="12"/>
        <v>0</v>
      </c>
    </row>
    <row r="51" spans="1:26" x14ac:dyDescent="0.2">
      <c r="A51" s="3">
        <v>65</v>
      </c>
      <c r="B51" s="3" t="s">
        <v>53</v>
      </c>
      <c r="C51" s="3">
        <v>117</v>
      </c>
      <c r="D51" s="3">
        <v>1097</v>
      </c>
      <c r="E51" s="4">
        <f t="shared" si="1"/>
        <v>425.36007292616227</v>
      </c>
      <c r="F51" s="9">
        <f t="shared" si="2"/>
        <v>0.38774847121801481</v>
      </c>
      <c r="G51" s="7">
        <v>212</v>
      </c>
      <c r="H51" s="11">
        <f t="shared" si="3"/>
        <v>0.19325432999088424</v>
      </c>
      <c r="I51" s="7">
        <v>87</v>
      </c>
      <c r="J51" s="11">
        <f t="shared" si="4"/>
        <v>7.9307201458523241E-2</v>
      </c>
      <c r="K51" s="7"/>
      <c r="L51" s="11">
        <f t="shared" si="5"/>
        <v>0</v>
      </c>
      <c r="M51" s="7"/>
      <c r="N51" s="11">
        <f t="shared" si="6"/>
        <v>0</v>
      </c>
      <c r="O51" s="7">
        <v>60</v>
      </c>
      <c r="P51" s="11">
        <f t="shared" si="7"/>
        <v>5.4694621695533276E-2</v>
      </c>
      <c r="Q51" s="8">
        <f t="shared" si="0"/>
        <v>60</v>
      </c>
      <c r="R51" s="12">
        <f t="shared" si="8"/>
        <v>5.4694621695533276E-2</v>
      </c>
      <c r="S51" s="7">
        <v>25</v>
      </c>
      <c r="T51" s="11">
        <f t="shared" si="9"/>
        <v>2.2789425706472195E-2</v>
      </c>
      <c r="U51" s="7">
        <v>10</v>
      </c>
      <c r="V51" s="11">
        <f t="shared" si="10"/>
        <v>9.1157702825888781E-3</v>
      </c>
      <c r="W51" s="7">
        <v>1</v>
      </c>
      <c r="X51" s="11">
        <f t="shared" si="11"/>
        <v>9.1157702825888785E-4</v>
      </c>
      <c r="Y51" s="7">
        <v>30</v>
      </c>
      <c r="Z51" s="9">
        <f t="shared" si="12"/>
        <v>2.7347310847766638E-2</v>
      </c>
    </row>
    <row r="52" spans="1:26" x14ac:dyDescent="0.2">
      <c r="A52" s="3">
        <v>66</v>
      </c>
      <c r="B52" s="3" t="s">
        <v>54</v>
      </c>
      <c r="C52" s="3">
        <v>94</v>
      </c>
      <c r="D52" s="3">
        <v>20905</v>
      </c>
      <c r="E52" s="4">
        <f t="shared" si="1"/>
        <v>7600.36048792155</v>
      </c>
      <c r="F52" s="9">
        <f t="shared" si="2"/>
        <v>0.36356663419859125</v>
      </c>
      <c r="G52" s="7">
        <v>4812</v>
      </c>
      <c r="H52" s="11">
        <f t="shared" si="3"/>
        <v>0.23018416646735232</v>
      </c>
      <c r="I52" s="7">
        <v>1487</v>
      </c>
      <c r="J52" s="11">
        <f t="shared" si="4"/>
        <v>7.1131308299449886E-2</v>
      </c>
      <c r="K52" s="7">
        <v>450</v>
      </c>
      <c r="L52" s="11">
        <f t="shared" si="5"/>
        <v>2.1525950729490553E-2</v>
      </c>
      <c r="M52" s="7">
        <v>242</v>
      </c>
      <c r="N52" s="11">
        <f t="shared" si="6"/>
        <v>1.1576177947859364E-2</v>
      </c>
      <c r="O52" s="7"/>
      <c r="P52" s="11">
        <f t="shared" si="7"/>
        <v>0</v>
      </c>
      <c r="Q52" s="8">
        <f t="shared" si="0"/>
        <v>692</v>
      </c>
      <c r="R52" s="12">
        <f t="shared" si="8"/>
        <v>3.3102128677349914E-2</v>
      </c>
      <c r="S52" s="7">
        <v>403</v>
      </c>
      <c r="T52" s="11">
        <f t="shared" si="9"/>
        <v>1.9277684764410427E-2</v>
      </c>
      <c r="U52" s="7">
        <v>141</v>
      </c>
      <c r="V52" s="11">
        <f t="shared" si="10"/>
        <v>6.7447978952403734E-3</v>
      </c>
      <c r="W52" s="7">
        <v>1</v>
      </c>
      <c r="X52" s="11">
        <f t="shared" si="11"/>
        <v>4.7835446065534558E-5</v>
      </c>
      <c r="Y52" s="7">
        <v>64</v>
      </c>
      <c r="Z52" s="9">
        <f t="shared" si="12"/>
        <v>3.0614685481942117E-3</v>
      </c>
    </row>
    <row r="53" spans="1:26" x14ac:dyDescent="0.2">
      <c r="A53" s="3">
        <v>67</v>
      </c>
      <c r="B53" s="3" t="s">
        <v>55</v>
      </c>
      <c r="C53" s="3">
        <v>113</v>
      </c>
      <c r="D53" s="3">
        <v>4624</v>
      </c>
      <c r="E53" s="4">
        <f t="shared" si="1"/>
        <v>2229.4744809688586</v>
      </c>
      <c r="F53" s="9">
        <f t="shared" si="2"/>
        <v>0.48215278567665626</v>
      </c>
      <c r="G53" s="7">
        <v>988</v>
      </c>
      <c r="H53" s="11">
        <f t="shared" si="3"/>
        <v>0.21366782006920415</v>
      </c>
      <c r="I53" s="7">
        <v>765</v>
      </c>
      <c r="J53" s="11">
        <f t="shared" si="4"/>
        <v>0.16544117647058823</v>
      </c>
      <c r="K53" s="7"/>
      <c r="L53" s="11">
        <f t="shared" si="5"/>
        <v>0</v>
      </c>
      <c r="M53" s="7"/>
      <c r="N53" s="11">
        <f t="shared" si="6"/>
        <v>0</v>
      </c>
      <c r="O53" s="7">
        <v>282</v>
      </c>
      <c r="P53" s="11">
        <f t="shared" si="7"/>
        <v>6.0986159169550171E-2</v>
      </c>
      <c r="Q53" s="8">
        <f t="shared" si="0"/>
        <v>282</v>
      </c>
      <c r="R53" s="12">
        <f t="shared" si="8"/>
        <v>6.0986159169550171E-2</v>
      </c>
      <c r="S53" s="7">
        <v>113</v>
      </c>
      <c r="T53" s="11">
        <f t="shared" si="9"/>
        <v>2.4437716262975778E-2</v>
      </c>
      <c r="U53" s="7">
        <v>43</v>
      </c>
      <c r="V53" s="11">
        <f t="shared" si="10"/>
        <v>9.2993079584775089E-3</v>
      </c>
      <c r="W53" s="7">
        <v>3</v>
      </c>
      <c r="X53" s="11">
        <f t="shared" si="11"/>
        <v>6.487889273356401E-4</v>
      </c>
      <c r="Y53" s="7">
        <v>35</v>
      </c>
      <c r="Z53" s="9">
        <f t="shared" si="12"/>
        <v>7.5692041522491347E-3</v>
      </c>
    </row>
    <row r="54" spans="1:26" x14ac:dyDescent="0.2">
      <c r="A54" s="3">
        <v>68</v>
      </c>
      <c r="B54" s="3" t="s">
        <v>56</v>
      </c>
      <c r="C54" s="3">
        <v>103</v>
      </c>
      <c r="D54" s="3">
        <v>2883</v>
      </c>
      <c r="E54" s="4">
        <f t="shared" si="1"/>
        <v>1202.3978494623657</v>
      </c>
      <c r="F54" s="9">
        <f t="shared" si="2"/>
        <v>0.41706481077432039</v>
      </c>
      <c r="G54" s="7">
        <v>551</v>
      </c>
      <c r="H54" s="11">
        <f t="shared" si="3"/>
        <v>0.19112036073534514</v>
      </c>
      <c r="I54" s="7">
        <v>379</v>
      </c>
      <c r="J54" s="11">
        <f t="shared" si="4"/>
        <v>0.13146028442594521</v>
      </c>
      <c r="K54" s="7">
        <v>95</v>
      </c>
      <c r="L54" s="11">
        <f t="shared" si="5"/>
        <v>3.2951786333680191E-2</v>
      </c>
      <c r="M54" s="7">
        <v>55</v>
      </c>
      <c r="N54" s="11">
        <f t="shared" si="6"/>
        <v>1.9077349982656956E-2</v>
      </c>
      <c r="O54" s="7"/>
      <c r="P54" s="11">
        <f t="shared" si="7"/>
        <v>0</v>
      </c>
      <c r="Q54" s="8">
        <f t="shared" si="0"/>
        <v>150</v>
      </c>
      <c r="R54" s="12">
        <f t="shared" si="8"/>
        <v>5.2029136316337148E-2</v>
      </c>
      <c r="S54" s="7">
        <v>43</v>
      </c>
      <c r="T54" s="11">
        <f t="shared" si="9"/>
        <v>1.4915019077349982E-2</v>
      </c>
      <c r="U54" s="7">
        <v>24</v>
      </c>
      <c r="V54" s="11">
        <f t="shared" si="10"/>
        <v>8.3246618106139446E-3</v>
      </c>
      <c r="W54" s="7">
        <v>0</v>
      </c>
      <c r="X54" s="11">
        <f t="shared" si="11"/>
        <v>0</v>
      </c>
      <c r="Y54" s="7">
        <v>55</v>
      </c>
      <c r="Z54" s="9">
        <f t="shared" si="12"/>
        <v>1.9077349982656956E-2</v>
      </c>
    </row>
    <row r="55" spans="1:26" x14ac:dyDescent="0.2">
      <c r="A55" s="3">
        <v>69</v>
      </c>
      <c r="B55" s="3" t="s">
        <v>57</v>
      </c>
      <c r="C55" s="3">
        <v>97</v>
      </c>
      <c r="D55" s="3">
        <v>17171</v>
      </c>
      <c r="E55" s="4">
        <f t="shared" si="1"/>
        <v>8000.4659018111925</v>
      </c>
      <c r="F55" s="9">
        <f t="shared" si="2"/>
        <v>0.46592894425550013</v>
      </c>
      <c r="G55" s="7">
        <v>3161</v>
      </c>
      <c r="H55" s="11">
        <f t="shared" si="3"/>
        <v>0.1840894531477491</v>
      </c>
      <c r="I55" s="7">
        <v>1613</v>
      </c>
      <c r="J55" s="11">
        <f t="shared" si="4"/>
        <v>9.3937452681847305E-2</v>
      </c>
      <c r="K55" s="7">
        <v>1535</v>
      </c>
      <c r="L55" s="11">
        <f t="shared" si="5"/>
        <v>8.9394910022712715E-2</v>
      </c>
      <c r="M55" s="7">
        <v>653</v>
      </c>
      <c r="N55" s="11">
        <f t="shared" si="6"/>
        <v>3.8029235338652378E-2</v>
      </c>
      <c r="O55" s="7"/>
      <c r="P55" s="11">
        <f t="shared" si="7"/>
        <v>0</v>
      </c>
      <c r="Q55" s="8">
        <f t="shared" si="0"/>
        <v>2188</v>
      </c>
      <c r="R55" s="12">
        <f t="shared" si="8"/>
        <v>0.12742414536136509</v>
      </c>
      <c r="S55" s="7">
        <v>817</v>
      </c>
      <c r="T55" s="11">
        <f t="shared" si="9"/>
        <v>4.7580222468114844E-2</v>
      </c>
      <c r="U55" s="7">
        <v>221</v>
      </c>
      <c r="V55" s="11">
        <f t="shared" si="10"/>
        <v>1.2870537534214663E-2</v>
      </c>
      <c r="W55" s="7"/>
      <c r="X55" s="11">
        <f t="shared" si="11"/>
        <v>0</v>
      </c>
      <c r="Y55" s="7"/>
      <c r="Z55" s="9">
        <f t="shared" si="12"/>
        <v>0</v>
      </c>
    </row>
    <row r="56" spans="1:26" x14ac:dyDescent="0.2">
      <c r="A56" s="3">
        <v>70</v>
      </c>
      <c r="B56" s="3" t="s">
        <v>58</v>
      </c>
      <c r="C56" s="3">
        <v>116</v>
      </c>
      <c r="D56" s="3">
        <v>564</v>
      </c>
      <c r="E56" s="4">
        <f t="shared" si="1"/>
        <v>126.2145390070922</v>
      </c>
      <c r="F56" s="9">
        <f t="shared" si="2"/>
        <v>0.2237846436295961</v>
      </c>
      <c r="G56" s="7">
        <v>75</v>
      </c>
      <c r="H56" s="11">
        <f t="shared" si="3"/>
        <v>0.13297872340425532</v>
      </c>
      <c r="I56" s="7">
        <v>25</v>
      </c>
      <c r="J56" s="11">
        <f t="shared" si="4"/>
        <v>4.4326241134751775E-2</v>
      </c>
      <c r="K56" s="7"/>
      <c r="L56" s="11">
        <f t="shared" si="5"/>
        <v>0</v>
      </c>
      <c r="M56" s="7"/>
      <c r="N56" s="11">
        <f t="shared" si="6"/>
        <v>0</v>
      </c>
      <c r="O56" s="7"/>
      <c r="P56" s="11">
        <f t="shared" si="7"/>
        <v>0</v>
      </c>
      <c r="Q56" s="8">
        <f t="shared" si="0"/>
        <v>0</v>
      </c>
      <c r="R56" s="12">
        <f t="shared" si="8"/>
        <v>0</v>
      </c>
      <c r="S56" s="7">
        <v>15</v>
      </c>
      <c r="T56" s="11">
        <f t="shared" si="9"/>
        <v>2.6595744680851064E-2</v>
      </c>
      <c r="U56" s="7">
        <v>6</v>
      </c>
      <c r="V56" s="11">
        <f t="shared" si="10"/>
        <v>1.0638297872340425E-2</v>
      </c>
      <c r="W56" s="7"/>
      <c r="X56" s="11">
        <f t="shared" si="11"/>
        <v>0</v>
      </c>
      <c r="Y56" s="7">
        <v>5</v>
      </c>
      <c r="Z56" s="9">
        <f t="shared" si="12"/>
        <v>8.8652482269503553E-3</v>
      </c>
    </row>
    <row r="57" spans="1:26" x14ac:dyDescent="0.2">
      <c r="A57" s="3">
        <v>71</v>
      </c>
      <c r="B57" s="3" t="s">
        <v>59</v>
      </c>
      <c r="C57" s="3">
        <v>106</v>
      </c>
      <c r="D57" s="3">
        <v>1487</v>
      </c>
      <c r="E57" s="4">
        <f t="shared" si="1"/>
        <v>899.41291190316076</v>
      </c>
      <c r="F57" s="9">
        <f t="shared" si="2"/>
        <v>0.6048506468750241</v>
      </c>
      <c r="G57" s="7">
        <v>189</v>
      </c>
      <c r="H57" s="11">
        <f t="shared" si="3"/>
        <v>0.12710154673839946</v>
      </c>
      <c r="I57" s="7">
        <v>301</v>
      </c>
      <c r="J57" s="11">
        <f t="shared" si="4"/>
        <v>0.20242098184263618</v>
      </c>
      <c r="K57" s="7">
        <v>58</v>
      </c>
      <c r="L57" s="11">
        <f t="shared" si="5"/>
        <v>3.9004707464694012E-2</v>
      </c>
      <c r="M57" s="7">
        <v>15</v>
      </c>
      <c r="N57" s="11">
        <f t="shared" si="6"/>
        <v>1.0087424344317418E-2</v>
      </c>
      <c r="O57" s="7"/>
      <c r="P57" s="11">
        <f t="shared" si="7"/>
        <v>0</v>
      </c>
      <c r="Q57" s="8">
        <f t="shared" si="0"/>
        <v>73</v>
      </c>
      <c r="R57" s="12">
        <f t="shared" si="8"/>
        <v>4.9092131809011431E-2</v>
      </c>
      <c r="S57" s="7">
        <v>48</v>
      </c>
      <c r="T57" s="11">
        <f t="shared" si="9"/>
        <v>3.2279757901815739E-2</v>
      </c>
      <c r="U57" s="7">
        <v>2</v>
      </c>
      <c r="V57" s="11">
        <f t="shared" si="10"/>
        <v>1.3449899125756557E-3</v>
      </c>
      <c r="W57" s="7">
        <v>1</v>
      </c>
      <c r="X57" s="11">
        <f t="shared" si="11"/>
        <v>6.7249495628782783E-4</v>
      </c>
      <c r="Y57" s="7">
        <v>285</v>
      </c>
      <c r="Z57" s="9">
        <f t="shared" si="12"/>
        <v>0.19166106254203094</v>
      </c>
    </row>
    <row r="58" spans="1:26" x14ac:dyDescent="0.2">
      <c r="A58" s="3">
        <v>72</v>
      </c>
      <c r="B58" s="3" t="s">
        <v>60</v>
      </c>
      <c r="C58" s="3">
        <v>76</v>
      </c>
      <c r="D58" s="3">
        <v>4649</v>
      </c>
      <c r="E58" s="4">
        <f t="shared" si="1"/>
        <v>1790.3807270380726</v>
      </c>
      <c r="F58" s="9">
        <f t="shared" si="2"/>
        <v>0.38511093289698267</v>
      </c>
      <c r="G58" s="7">
        <v>814</v>
      </c>
      <c r="H58" s="11">
        <f t="shared" si="3"/>
        <v>0.17509141750914176</v>
      </c>
      <c r="I58" s="7">
        <v>586</v>
      </c>
      <c r="J58" s="11">
        <f t="shared" si="4"/>
        <v>0.12604861260486125</v>
      </c>
      <c r="K58" s="7">
        <v>150</v>
      </c>
      <c r="L58" s="11">
        <f t="shared" si="5"/>
        <v>3.2265003226500326E-2</v>
      </c>
      <c r="M58" s="7">
        <v>65</v>
      </c>
      <c r="N58" s="11">
        <f t="shared" si="6"/>
        <v>1.398150139815014E-2</v>
      </c>
      <c r="O58" s="7"/>
      <c r="P58" s="11">
        <f t="shared" si="7"/>
        <v>0</v>
      </c>
      <c r="Q58" s="8">
        <f t="shared" si="0"/>
        <v>215</v>
      </c>
      <c r="R58" s="12">
        <f t="shared" si="8"/>
        <v>4.6246504624650464E-2</v>
      </c>
      <c r="S58" s="7">
        <v>135</v>
      </c>
      <c r="T58" s="11">
        <f t="shared" si="9"/>
        <v>2.9038502903850291E-2</v>
      </c>
      <c r="U58" s="7">
        <v>19</v>
      </c>
      <c r="V58" s="11">
        <f t="shared" si="10"/>
        <v>4.0869004086900411E-3</v>
      </c>
      <c r="W58" s="7">
        <v>1</v>
      </c>
      <c r="X58" s="11">
        <f t="shared" si="11"/>
        <v>2.1510002151000216E-4</v>
      </c>
      <c r="Y58" s="7">
        <v>20</v>
      </c>
      <c r="Z58" s="9">
        <f t="shared" si="12"/>
        <v>4.3020004302000434E-3</v>
      </c>
    </row>
    <row r="59" spans="1:26" x14ac:dyDescent="0.2">
      <c r="A59" s="3">
        <v>81</v>
      </c>
      <c r="B59" s="3" t="s">
        <v>61</v>
      </c>
      <c r="C59" s="3">
        <v>127</v>
      </c>
      <c r="D59" s="3">
        <v>615</v>
      </c>
      <c r="E59" s="4">
        <f t="shared" si="1"/>
        <v>293.47642276422761</v>
      </c>
      <c r="F59" s="9">
        <f t="shared" si="2"/>
        <v>0.47719743538898796</v>
      </c>
      <c r="G59" s="7">
        <v>112</v>
      </c>
      <c r="H59" s="11">
        <f t="shared" si="3"/>
        <v>0.1821138211382114</v>
      </c>
      <c r="I59" s="7">
        <v>126</v>
      </c>
      <c r="J59" s="11">
        <f t="shared" si="4"/>
        <v>0.20487804878048779</v>
      </c>
      <c r="K59" s="7"/>
      <c r="L59" s="11">
        <f t="shared" si="5"/>
        <v>0</v>
      </c>
      <c r="M59" s="7"/>
      <c r="N59" s="11">
        <f t="shared" si="6"/>
        <v>0</v>
      </c>
      <c r="O59" s="7">
        <v>28</v>
      </c>
      <c r="P59" s="11">
        <f t="shared" si="7"/>
        <v>4.5528455284552849E-2</v>
      </c>
      <c r="Q59" s="8">
        <f t="shared" si="0"/>
        <v>28</v>
      </c>
      <c r="R59" s="12">
        <f t="shared" si="8"/>
        <v>4.5528455284552849E-2</v>
      </c>
      <c r="S59" s="7">
        <v>26</v>
      </c>
      <c r="T59" s="11">
        <f t="shared" si="9"/>
        <v>4.2276422764227641E-2</v>
      </c>
      <c r="U59" s="7">
        <v>1</v>
      </c>
      <c r="V59" s="11">
        <f t="shared" si="10"/>
        <v>1.6260162601626016E-3</v>
      </c>
      <c r="W59" s="7"/>
      <c r="X59" s="11">
        <f t="shared" si="11"/>
        <v>0</v>
      </c>
      <c r="Y59" s="7"/>
      <c r="Z59" s="9">
        <f t="shared" si="12"/>
        <v>0</v>
      </c>
    </row>
    <row r="60" spans="1:26" x14ac:dyDescent="0.2">
      <c r="A60" s="3">
        <v>82</v>
      </c>
      <c r="B60" s="3" t="s">
        <v>62</v>
      </c>
      <c r="C60" s="3">
        <v>91</v>
      </c>
      <c r="D60" s="3">
        <v>1465</v>
      </c>
      <c r="E60" s="4">
        <f t="shared" si="1"/>
        <v>461.31467576791806</v>
      </c>
      <c r="F60" s="9">
        <f t="shared" si="2"/>
        <v>0.31489056366410789</v>
      </c>
      <c r="G60" s="7">
        <v>179</v>
      </c>
      <c r="H60" s="11">
        <f t="shared" si="3"/>
        <v>0.12218430034129693</v>
      </c>
      <c r="I60" s="7">
        <v>189</v>
      </c>
      <c r="J60" s="11">
        <f t="shared" si="4"/>
        <v>0.12901023890784982</v>
      </c>
      <c r="K60" s="7"/>
      <c r="L60" s="11">
        <f t="shared" si="5"/>
        <v>0</v>
      </c>
      <c r="M60" s="7"/>
      <c r="N60" s="11">
        <f t="shared" si="6"/>
        <v>0</v>
      </c>
      <c r="O60" s="7">
        <v>58</v>
      </c>
      <c r="P60" s="11">
        <f t="shared" si="7"/>
        <v>3.9590443686006824E-2</v>
      </c>
      <c r="Q60" s="8">
        <f t="shared" si="0"/>
        <v>58</v>
      </c>
      <c r="R60" s="12">
        <f t="shared" si="8"/>
        <v>3.9590443686006824E-2</v>
      </c>
      <c r="S60" s="7">
        <v>33</v>
      </c>
      <c r="T60" s="11">
        <f t="shared" si="9"/>
        <v>2.2525597269624574E-2</v>
      </c>
      <c r="U60" s="7">
        <v>2</v>
      </c>
      <c r="V60" s="11">
        <f t="shared" si="10"/>
        <v>1.3651877133105802E-3</v>
      </c>
      <c r="W60" s="7"/>
      <c r="X60" s="11">
        <f t="shared" si="11"/>
        <v>0</v>
      </c>
      <c r="Y60" s="7"/>
      <c r="Z60" s="9">
        <f t="shared" si="12"/>
        <v>0</v>
      </c>
    </row>
    <row r="61" spans="1:26" x14ac:dyDescent="0.2">
      <c r="A61" s="3">
        <v>83</v>
      </c>
      <c r="B61" s="3" t="s">
        <v>63</v>
      </c>
      <c r="C61" s="3">
        <v>110</v>
      </c>
      <c r="D61" s="3">
        <v>6554</v>
      </c>
      <c r="E61" s="4">
        <f t="shared" si="1"/>
        <v>2120.323466585292</v>
      </c>
      <c r="F61" s="9">
        <f t="shared" si="2"/>
        <v>0.32351593936302897</v>
      </c>
      <c r="G61" s="7">
        <v>970</v>
      </c>
      <c r="H61" s="11">
        <f t="shared" si="3"/>
        <v>0.14800122062862375</v>
      </c>
      <c r="I61" s="7">
        <v>783</v>
      </c>
      <c r="J61" s="11">
        <f t="shared" si="4"/>
        <v>0.11946902654867257</v>
      </c>
      <c r="K61" s="7">
        <v>144</v>
      </c>
      <c r="L61" s="11">
        <f t="shared" si="5"/>
        <v>2.1971315227342081E-2</v>
      </c>
      <c r="M61" s="7">
        <v>30</v>
      </c>
      <c r="N61" s="11">
        <f t="shared" si="6"/>
        <v>4.5773573390296002E-3</v>
      </c>
      <c r="O61" s="7"/>
      <c r="P61" s="11">
        <f t="shared" si="7"/>
        <v>0</v>
      </c>
      <c r="Q61" s="8">
        <f t="shared" si="0"/>
        <v>174</v>
      </c>
      <c r="R61" s="12">
        <f t="shared" si="8"/>
        <v>2.6548672566371681E-2</v>
      </c>
      <c r="S61" s="7">
        <v>179</v>
      </c>
      <c r="T61" s="11">
        <f t="shared" si="9"/>
        <v>2.7311565456209948E-2</v>
      </c>
      <c r="U61" s="7">
        <v>13</v>
      </c>
      <c r="V61" s="11">
        <f t="shared" si="10"/>
        <v>1.9835215135794934E-3</v>
      </c>
      <c r="W61" s="7">
        <v>1</v>
      </c>
      <c r="X61" s="11">
        <f t="shared" si="11"/>
        <v>1.5257857796765334E-4</v>
      </c>
      <c r="Y61" s="7">
        <v>0</v>
      </c>
      <c r="Z61" s="9">
        <f t="shared" si="12"/>
        <v>0</v>
      </c>
    </row>
    <row r="62" spans="1:26" x14ac:dyDescent="0.2">
      <c r="A62" s="3">
        <v>84</v>
      </c>
      <c r="B62" s="3" t="s">
        <v>64</v>
      </c>
      <c r="C62" s="3">
        <v>108</v>
      </c>
      <c r="D62" s="3">
        <v>4269</v>
      </c>
      <c r="E62" s="4">
        <f t="shared" si="1"/>
        <v>1444.3382525181541</v>
      </c>
      <c r="F62" s="9">
        <f t="shared" si="2"/>
        <v>0.33833175275665356</v>
      </c>
      <c r="G62" s="7">
        <v>795</v>
      </c>
      <c r="H62" s="11">
        <f t="shared" si="3"/>
        <v>0.18622628250175685</v>
      </c>
      <c r="I62" s="7">
        <v>504</v>
      </c>
      <c r="J62" s="11">
        <f t="shared" si="4"/>
        <v>0.11806043569922699</v>
      </c>
      <c r="K62" s="7">
        <v>62</v>
      </c>
      <c r="L62" s="11">
        <f t="shared" si="5"/>
        <v>1.4523307566174749E-2</v>
      </c>
      <c r="M62" s="7">
        <v>14</v>
      </c>
      <c r="N62" s="11">
        <f t="shared" si="6"/>
        <v>3.2794565472007496E-3</v>
      </c>
      <c r="O62" s="7"/>
      <c r="P62" s="11">
        <f t="shared" si="7"/>
        <v>0</v>
      </c>
      <c r="Q62" s="8">
        <f t="shared" si="0"/>
        <v>76</v>
      </c>
      <c r="R62" s="12">
        <f t="shared" si="8"/>
        <v>1.7802764113375499E-2</v>
      </c>
      <c r="S62" s="7">
        <v>64</v>
      </c>
      <c r="T62" s="11">
        <f t="shared" si="9"/>
        <v>1.4991801358631998E-2</v>
      </c>
      <c r="U62" s="7">
        <v>5</v>
      </c>
      <c r="V62" s="11">
        <f t="shared" si="10"/>
        <v>1.1712344811431249E-3</v>
      </c>
      <c r="W62" s="7"/>
      <c r="X62" s="11">
        <f t="shared" si="11"/>
        <v>0</v>
      </c>
      <c r="Y62" s="7"/>
      <c r="Z62" s="9">
        <f t="shared" si="12"/>
        <v>0</v>
      </c>
    </row>
    <row r="63" spans="1:26" x14ac:dyDescent="0.2">
      <c r="A63" s="3">
        <v>85</v>
      </c>
      <c r="B63" s="3" t="s">
        <v>65</v>
      </c>
      <c r="C63" s="3">
        <v>120</v>
      </c>
      <c r="D63" s="3">
        <v>1847</v>
      </c>
      <c r="E63" s="4">
        <f t="shared" si="1"/>
        <v>682.36166756903094</v>
      </c>
      <c r="F63" s="9">
        <f t="shared" si="2"/>
        <v>0.36944324178074223</v>
      </c>
      <c r="G63" s="7">
        <v>274</v>
      </c>
      <c r="H63" s="11">
        <f t="shared" si="3"/>
        <v>0.14834867352463454</v>
      </c>
      <c r="I63" s="7">
        <v>257</v>
      </c>
      <c r="J63" s="11">
        <f t="shared" si="4"/>
        <v>0.13914455874390905</v>
      </c>
      <c r="K63" s="7">
        <v>54</v>
      </c>
      <c r="L63" s="11">
        <f t="shared" si="5"/>
        <v>2.9236599891716297E-2</v>
      </c>
      <c r="M63" s="7">
        <v>25</v>
      </c>
      <c r="N63" s="11">
        <f t="shared" si="6"/>
        <v>1.3535462912831619E-2</v>
      </c>
      <c r="O63" s="7"/>
      <c r="P63" s="11">
        <f t="shared" si="7"/>
        <v>0</v>
      </c>
      <c r="Q63" s="8">
        <f t="shared" si="0"/>
        <v>79</v>
      </c>
      <c r="R63" s="12">
        <f t="shared" si="8"/>
        <v>4.2772062804547914E-2</v>
      </c>
      <c r="S63" s="7">
        <v>44</v>
      </c>
      <c r="T63" s="11">
        <f t="shared" si="9"/>
        <v>2.3822414726583648E-2</v>
      </c>
      <c r="U63" s="7">
        <v>13</v>
      </c>
      <c r="V63" s="11">
        <f t="shared" si="10"/>
        <v>7.0384407146724419E-3</v>
      </c>
      <c r="W63" s="7">
        <v>1</v>
      </c>
      <c r="X63" s="11">
        <f t="shared" si="11"/>
        <v>5.4141851651326478E-4</v>
      </c>
      <c r="Y63" s="7">
        <v>14</v>
      </c>
      <c r="Z63" s="9">
        <f t="shared" si="12"/>
        <v>7.5798592311857064E-3</v>
      </c>
    </row>
    <row r="64" spans="1:26" x14ac:dyDescent="0.2">
      <c r="A64" s="3">
        <v>86</v>
      </c>
      <c r="B64" s="3" t="s">
        <v>66</v>
      </c>
      <c r="C64" s="3">
        <v>105</v>
      </c>
      <c r="D64" s="3">
        <v>5966</v>
      </c>
      <c r="E64" s="4">
        <f t="shared" si="1"/>
        <v>1806.3027153871942</v>
      </c>
      <c r="F64" s="9">
        <f t="shared" si="2"/>
        <v>0.3027661272858187</v>
      </c>
      <c r="G64" s="7">
        <v>890</v>
      </c>
      <c r="H64" s="11">
        <f t="shared" si="3"/>
        <v>0.14917867918203151</v>
      </c>
      <c r="I64" s="7">
        <v>558</v>
      </c>
      <c r="J64" s="11">
        <f t="shared" si="4"/>
        <v>9.3530003352329874E-2</v>
      </c>
      <c r="K64" s="7">
        <v>127</v>
      </c>
      <c r="L64" s="11">
        <f t="shared" si="5"/>
        <v>2.1287294669795509E-2</v>
      </c>
      <c r="M64" s="7">
        <v>50</v>
      </c>
      <c r="N64" s="11">
        <f t="shared" si="6"/>
        <v>8.3808246731478381E-3</v>
      </c>
      <c r="O64" s="7">
        <v>0</v>
      </c>
      <c r="P64" s="11">
        <f t="shared" si="7"/>
        <v>0</v>
      </c>
      <c r="Q64" s="8">
        <f t="shared" si="0"/>
        <v>177</v>
      </c>
      <c r="R64" s="12">
        <f t="shared" si="8"/>
        <v>2.9668119342943347E-2</v>
      </c>
      <c r="S64" s="7">
        <v>117</v>
      </c>
      <c r="T64" s="11">
        <f t="shared" si="9"/>
        <v>1.961112973516594E-2</v>
      </c>
      <c r="U64" s="7">
        <v>64</v>
      </c>
      <c r="V64" s="11">
        <f t="shared" si="10"/>
        <v>1.0727455581629233E-2</v>
      </c>
      <c r="W64" s="7">
        <v>0</v>
      </c>
      <c r="X64" s="11">
        <f t="shared" si="11"/>
        <v>0</v>
      </c>
      <c r="Y64" s="7"/>
      <c r="Z64" s="9">
        <f t="shared" si="12"/>
        <v>0</v>
      </c>
    </row>
    <row r="65" spans="1:26" x14ac:dyDescent="0.2">
      <c r="A65" s="3">
        <v>87</v>
      </c>
      <c r="B65" s="3" t="s">
        <v>67</v>
      </c>
      <c r="C65" s="3">
        <v>119</v>
      </c>
      <c r="D65" s="3">
        <v>947</v>
      </c>
      <c r="E65" s="4">
        <f t="shared" si="1"/>
        <v>290.30623020063359</v>
      </c>
      <c r="F65" s="9">
        <f t="shared" si="2"/>
        <v>0.30655356937764899</v>
      </c>
      <c r="G65" s="7">
        <v>127</v>
      </c>
      <c r="H65" s="11">
        <f t="shared" si="3"/>
        <v>0.13410770855332629</v>
      </c>
      <c r="I65" s="7">
        <v>122</v>
      </c>
      <c r="J65" s="11">
        <f t="shared" si="4"/>
        <v>0.12882787750791974</v>
      </c>
      <c r="K65" s="7">
        <v>15</v>
      </c>
      <c r="L65" s="11">
        <f t="shared" si="5"/>
        <v>1.5839493136219639E-2</v>
      </c>
      <c r="M65" s="7">
        <v>3</v>
      </c>
      <c r="N65" s="11">
        <f t="shared" si="6"/>
        <v>3.1678986272439284E-3</v>
      </c>
      <c r="O65" s="7"/>
      <c r="P65" s="11">
        <f t="shared" si="7"/>
        <v>0</v>
      </c>
      <c r="Q65" s="8">
        <f t="shared" si="0"/>
        <v>18</v>
      </c>
      <c r="R65" s="12">
        <f t="shared" si="8"/>
        <v>1.9007391763463569E-2</v>
      </c>
      <c r="S65" s="7">
        <v>23</v>
      </c>
      <c r="T65" s="11">
        <f t="shared" si="9"/>
        <v>2.4287222808870117E-2</v>
      </c>
      <c r="U65" s="7"/>
      <c r="V65" s="11">
        <f t="shared" si="10"/>
        <v>0</v>
      </c>
      <c r="W65" s="7"/>
      <c r="X65" s="11">
        <f t="shared" si="11"/>
        <v>0</v>
      </c>
      <c r="Y65" s="7"/>
      <c r="Z65" s="9">
        <f t="shared" si="12"/>
        <v>0</v>
      </c>
    </row>
    <row r="66" spans="1:26" x14ac:dyDescent="0.2">
      <c r="A66" s="3">
        <v>88</v>
      </c>
      <c r="B66" s="3" t="s">
        <v>68</v>
      </c>
      <c r="C66" s="3">
        <v>76</v>
      </c>
      <c r="D66" s="3">
        <v>3225</v>
      </c>
      <c r="E66" s="4">
        <f t="shared" si="1"/>
        <v>1342.4049612403101</v>
      </c>
      <c r="F66" s="9">
        <f t="shared" si="2"/>
        <v>0.41624960038459224</v>
      </c>
      <c r="G66" s="7">
        <v>532</v>
      </c>
      <c r="H66" s="11">
        <f t="shared" si="3"/>
        <v>0.16496124031007753</v>
      </c>
      <c r="I66" s="7">
        <v>458</v>
      </c>
      <c r="J66" s="11">
        <f t="shared" si="4"/>
        <v>0.14201550387596898</v>
      </c>
      <c r="K66" s="7">
        <v>128</v>
      </c>
      <c r="L66" s="11">
        <f t="shared" si="5"/>
        <v>3.9689922480620157E-2</v>
      </c>
      <c r="M66" s="7">
        <v>45</v>
      </c>
      <c r="N66" s="11">
        <f t="shared" si="6"/>
        <v>1.3953488372093023E-2</v>
      </c>
      <c r="O66" s="7"/>
      <c r="P66" s="11">
        <f t="shared" si="7"/>
        <v>0</v>
      </c>
      <c r="Q66" s="8">
        <f t="shared" ref="Q66:Q129" si="13">O66+M66+K66</f>
        <v>173</v>
      </c>
      <c r="R66" s="12">
        <f t="shared" si="8"/>
        <v>5.364341085271318E-2</v>
      </c>
      <c r="S66" s="7">
        <v>117</v>
      </c>
      <c r="T66" s="11">
        <f t="shared" si="9"/>
        <v>3.6279069767441857E-2</v>
      </c>
      <c r="U66" s="7">
        <v>24</v>
      </c>
      <c r="V66" s="11">
        <f t="shared" si="10"/>
        <v>7.4418604651162795E-3</v>
      </c>
      <c r="W66" s="7">
        <v>2</v>
      </c>
      <c r="X66" s="11">
        <f t="shared" si="11"/>
        <v>6.2015503875968996E-4</v>
      </c>
      <c r="Y66" s="7">
        <v>36</v>
      </c>
      <c r="Z66" s="9">
        <f t="shared" si="12"/>
        <v>1.1162790697674419E-2</v>
      </c>
    </row>
    <row r="67" spans="1:26" x14ac:dyDescent="0.2">
      <c r="A67" s="3">
        <v>89</v>
      </c>
      <c r="B67" s="3" t="s">
        <v>69</v>
      </c>
      <c r="C67" s="3">
        <v>107</v>
      </c>
      <c r="D67" s="3">
        <v>4937</v>
      </c>
      <c r="E67" s="4">
        <f t="shared" ref="E67:E130" si="14">SUM(Q67:Y67,G67:J67)</f>
        <v>2373.4650597528866</v>
      </c>
      <c r="F67" s="9">
        <f t="shared" ref="F67:F130" si="15">E67/D67</f>
        <v>0.48075046784542974</v>
      </c>
      <c r="G67" s="7">
        <v>758</v>
      </c>
      <c r="H67" s="11">
        <f t="shared" ref="H67:H130" si="16">G67/D67</f>
        <v>0.15353453514279927</v>
      </c>
      <c r="I67" s="7">
        <v>821</v>
      </c>
      <c r="J67" s="11">
        <f t="shared" ref="J67:J130" si="17">I67/D67</f>
        <v>0.16629532104516914</v>
      </c>
      <c r="K67" s="7">
        <v>182</v>
      </c>
      <c r="L67" s="11">
        <f t="shared" ref="L67:L130" si="18">K67/D67</f>
        <v>3.6864492606846259E-2</v>
      </c>
      <c r="M67" s="7">
        <v>67</v>
      </c>
      <c r="N67" s="11">
        <f t="shared" ref="N67:N130" si="19">M67/D67</f>
        <v>1.3570994531091757E-2</v>
      </c>
      <c r="O67" s="7">
        <v>249</v>
      </c>
      <c r="P67" s="11">
        <f t="shared" ref="P67:P130" si="20">O67/D67</f>
        <v>5.0435487137938016E-2</v>
      </c>
      <c r="Q67" s="8">
        <f t="shared" si="13"/>
        <v>498</v>
      </c>
      <c r="R67" s="12">
        <f t="shared" ref="R67:R130" si="21">Q67/D67</f>
        <v>0.10087097427587603</v>
      </c>
      <c r="S67" s="7">
        <v>144</v>
      </c>
      <c r="T67" s="11">
        <f t="shared" ref="T67:T130" si="22">S67/D67</f>
        <v>2.9167510633988251E-2</v>
      </c>
      <c r="U67" s="7">
        <v>39</v>
      </c>
      <c r="V67" s="11">
        <f t="shared" ref="V67:V130" si="23">U67/D67</f>
        <v>7.8995341300384849E-3</v>
      </c>
      <c r="W67" s="7">
        <v>36</v>
      </c>
      <c r="X67" s="11">
        <f t="shared" ref="X67:X130" si="24">W67/D67</f>
        <v>7.2918776584970629E-3</v>
      </c>
      <c r="Y67" s="7">
        <v>77</v>
      </c>
      <c r="Z67" s="9">
        <f t="shared" ref="Z67:Z130" si="25">Y67/D67</f>
        <v>1.5596516102896496E-2</v>
      </c>
    </row>
    <row r="68" spans="1:26" x14ac:dyDescent="0.2">
      <c r="A68" s="3">
        <v>90</v>
      </c>
      <c r="B68" s="3" t="s">
        <v>70</v>
      </c>
      <c r="C68" s="3">
        <v>116</v>
      </c>
      <c r="D68" s="3">
        <v>9446</v>
      </c>
      <c r="E68" s="4">
        <f t="shared" si="14"/>
        <v>3674.3833368621636</v>
      </c>
      <c r="F68" s="9">
        <f t="shared" si="15"/>
        <v>0.38898828465616808</v>
      </c>
      <c r="G68" s="7">
        <v>1603</v>
      </c>
      <c r="H68" s="11">
        <f t="shared" si="16"/>
        <v>0.16970146093584587</v>
      </c>
      <c r="I68" s="7">
        <v>1185</v>
      </c>
      <c r="J68" s="11">
        <f t="shared" si="17"/>
        <v>0.12544992589455856</v>
      </c>
      <c r="K68" s="7">
        <v>366</v>
      </c>
      <c r="L68" s="11">
        <f t="shared" si="18"/>
        <v>3.874655939021808E-2</v>
      </c>
      <c r="M68" s="7">
        <v>131</v>
      </c>
      <c r="N68" s="11">
        <f t="shared" si="19"/>
        <v>1.3868304044039804E-2</v>
      </c>
      <c r="O68" s="7"/>
      <c r="P68" s="11">
        <f t="shared" si="20"/>
        <v>0</v>
      </c>
      <c r="Q68" s="8">
        <f t="shared" si="13"/>
        <v>497</v>
      </c>
      <c r="R68" s="12">
        <f t="shared" si="21"/>
        <v>5.2614863434257884E-2</v>
      </c>
      <c r="S68" s="7">
        <v>261</v>
      </c>
      <c r="T68" s="11">
        <f t="shared" si="22"/>
        <v>2.7630743171712893E-2</v>
      </c>
      <c r="U68" s="7">
        <v>75</v>
      </c>
      <c r="V68" s="11">
        <f t="shared" si="23"/>
        <v>7.9398687275037058E-3</v>
      </c>
      <c r="W68" s="7"/>
      <c r="X68" s="11">
        <f t="shared" si="24"/>
        <v>0</v>
      </c>
      <c r="Y68" s="7">
        <v>53</v>
      </c>
      <c r="Z68" s="9">
        <f t="shared" si="25"/>
        <v>5.6108405674359521E-3</v>
      </c>
    </row>
    <row r="69" spans="1:26" x14ac:dyDescent="0.2">
      <c r="A69" s="3">
        <v>91</v>
      </c>
      <c r="B69" s="3" t="s">
        <v>71</v>
      </c>
      <c r="C69" s="3">
        <v>104</v>
      </c>
      <c r="D69" s="3">
        <v>3089</v>
      </c>
      <c r="E69" s="4">
        <f t="shared" si="14"/>
        <v>901.29168015539005</v>
      </c>
      <c r="F69" s="9">
        <f t="shared" si="15"/>
        <v>0.29177458082078023</v>
      </c>
      <c r="G69" s="7">
        <v>464</v>
      </c>
      <c r="H69" s="11">
        <f t="shared" si="16"/>
        <v>0.15021042408546456</v>
      </c>
      <c r="I69" s="7">
        <v>371</v>
      </c>
      <c r="J69" s="11">
        <f t="shared" si="17"/>
        <v>0.12010359339592101</v>
      </c>
      <c r="K69" s="7"/>
      <c r="L69" s="11">
        <f t="shared" si="18"/>
        <v>0</v>
      </c>
      <c r="M69" s="7"/>
      <c r="N69" s="11">
        <f t="shared" si="19"/>
        <v>0</v>
      </c>
      <c r="O69" s="7">
        <v>0</v>
      </c>
      <c r="P69" s="11">
        <f t="shared" si="20"/>
        <v>0</v>
      </c>
      <c r="Q69" s="8">
        <f t="shared" si="13"/>
        <v>0</v>
      </c>
      <c r="R69" s="12">
        <f t="shared" si="21"/>
        <v>0</v>
      </c>
      <c r="S69" s="7">
        <v>66</v>
      </c>
      <c r="T69" s="11">
        <f t="shared" si="22"/>
        <v>2.1366137908708321E-2</v>
      </c>
      <c r="U69" s="7">
        <v>0</v>
      </c>
      <c r="V69" s="11">
        <f t="shared" si="23"/>
        <v>0</v>
      </c>
      <c r="W69" s="7">
        <v>0</v>
      </c>
      <c r="X69" s="11">
        <f t="shared" si="24"/>
        <v>0</v>
      </c>
      <c r="Y69" s="7"/>
      <c r="Z69" s="9">
        <f t="shared" si="25"/>
        <v>0</v>
      </c>
    </row>
    <row r="70" spans="1:26" x14ac:dyDescent="0.2">
      <c r="A70" s="3">
        <v>92</v>
      </c>
      <c r="B70" s="3" t="s">
        <v>72</v>
      </c>
      <c r="C70" s="3">
        <v>122</v>
      </c>
      <c r="D70" s="3">
        <v>7361</v>
      </c>
      <c r="E70" s="4">
        <f t="shared" si="14"/>
        <v>2445.3284879771772</v>
      </c>
      <c r="F70" s="9">
        <f t="shared" si="15"/>
        <v>0.33220058252644713</v>
      </c>
      <c r="G70" s="7">
        <v>1190</v>
      </c>
      <c r="H70" s="11">
        <f t="shared" si="16"/>
        <v>0.16166281755196305</v>
      </c>
      <c r="I70" s="7">
        <v>838</v>
      </c>
      <c r="J70" s="11">
        <f t="shared" si="17"/>
        <v>0.11384322782230676</v>
      </c>
      <c r="K70" s="7">
        <v>150</v>
      </c>
      <c r="L70" s="11">
        <f t="shared" si="18"/>
        <v>2.0377666077978536E-2</v>
      </c>
      <c r="M70" s="7">
        <v>50</v>
      </c>
      <c r="N70" s="11">
        <f t="shared" si="19"/>
        <v>6.7925553593261787E-3</v>
      </c>
      <c r="O70" s="7"/>
      <c r="P70" s="11">
        <f t="shared" si="20"/>
        <v>0</v>
      </c>
      <c r="Q70" s="8">
        <f t="shared" si="13"/>
        <v>200</v>
      </c>
      <c r="R70" s="12">
        <f t="shared" si="21"/>
        <v>2.7170221437304715E-2</v>
      </c>
      <c r="S70" s="7">
        <v>156</v>
      </c>
      <c r="T70" s="11">
        <f t="shared" si="22"/>
        <v>2.1192772721097677E-2</v>
      </c>
      <c r="U70" s="7">
        <v>32</v>
      </c>
      <c r="V70" s="11">
        <f t="shared" si="23"/>
        <v>4.3472354299687538E-3</v>
      </c>
      <c r="W70" s="7">
        <v>2</v>
      </c>
      <c r="X70" s="11">
        <f t="shared" si="24"/>
        <v>2.7170221437304711E-4</v>
      </c>
      <c r="Y70" s="7">
        <v>27</v>
      </c>
      <c r="Z70" s="9">
        <f t="shared" si="25"/>
        <v>3.6679798940361364E-3</v>
      </c>
    </row>
    <row r="71" spans="1:26" x14ac:dyDescent="0.2">
      <c r="A71" s="3">
        <v>93</v>
      </c>
      <c r="B71" s="3" t="s">
        <v>73</v>
      </c>
      <c r="C71" s="3">
        <v>98</v>
      </c>
      <c r="D71" s="3">
        <v>1896</v>
      </c>
      <c r="E71" s="4">
        <f t="shared" si="14"/>
        <v>528.27848101265829</v>
      </c>
      <c r="F71" s="9">
        <f t="shared" si="15"/>
        <v>0.2786278908294611</v>
      </c>
      <c r="G71" s="7">
        <v>218</v>
      </c>
      <c r="H71" s="11">
        <f t="shared" si="16"/>
        <v>0.1149789029535865</v>
      </c>
      <c r="I71" s="7">
        <v>229</v>
      </c>
      <c r="J71" s="11">
        <f t="shared" si="17"/>
        <v>0.12078059071729957</v>
      </c>
      <c r="K71" s="7">
        <v>12</v>
      </c>
      <c r="L71" s="11">
        <f t="shared" si="18"/>
        <v>6.3291139240506328E-3</v>
      </c>
      <c r="M71" s="7"/>
      <c r="N71" s="11">
        <f t="shared" si="19"/>
        <v>0</v>
      </c>
      <c r="O71" s="7"/>
      <c r="P71" s="11">
        <f t="shared" si="20"/>
        <v>0</v>
      </c>
      <c r="Q71" s="8">
        <f t="shared" si="13"/>
        <v>12</v>
      </c>
      <c r="R71" s="12">
        <f t="shared" si="21"/>
        <v>6.3291139240506328E-3</v>
      </c>
      <c r="S71" s="7">
        <v>68</v>
      </c>
      <c r="T71" s="11">
        <f t="shared" si="22"/>
        <v>3.5864978902953586E-2</v>
      </c>
      <c r="U71" s="7"/>
      <c r="V71" s="11">
        <f t="shared" si="23"/>
        <v>0</v>
      </c>
      <c r="W71" s="7">
        <v>1</v>
      </c>
      <c r="X71" s="11">
        <f t="shared" si="24"/>
        <v>5.274261603375527E-4</v>
      </c>
      <c r="Y71" s="7"/>
      <c r="Z71" s="9">
        <f t="shared" si="25"/>
        <v>0</v>
      </c>
    </row>
    <row r="72" spans="1:26" x14ac:dyDescent="0.2">
      <c r="A72" s="3">
        <v>94</v>
      </c>
      <c r="B72" s="3" t="s">
        <v>74</v>
      </c>
      <c r="C72" s="3">
        <v>110</v>
      </c>
      <c r="D72" s="3">
        <v>2940</v>
      </c>
      <c r="E72" s="4">
        <f t="shared" si="14"/>
        <v>1265.4302721088436</v>
      </c>
      <c r="F72" s="9">
        <f t="shared" si="15"/>
        <v>0.43041845990096722</v>
      </c>
      <c r="G72" s="7">
        <v>541</v>
      </c>
      <c r="H72" s="11">
        <f t="shared" si="16"/>
        <v>0.18401360544217688</v>
      </c>
      <c r="I72" s="7">
        <v>421</v>
      </c>
      <c r="J72" s="11">
        <f t="shared" si="17"/>
        <v>0.14319727891156461</v>
      </c>
      <c r="K72" s="7">
        <v>76</v>
      </c>
      <c r="L72" s="11">
        <f t="shared" si="18"/>
        <v>2.5850340136054421E-2</v>
      </c>
      <c r="M72" s="7">
        <v>34</v>
      </c>
      <c r="N72" s="11">
        <f t="shared" si="19"/>
        <v>1.1564625850340135E-2</v>
      </c>
      <c r="O72" s="7">
        <v>110</v>
      </c>
      <c r="P72" s="11">
        <f t="shared" si="20"/>
        <v>3.7414965986394558E-2</v>
      </c>
      <c r="Q72" s="8">
        <f t="shared" si="13"/>
        <v>220</v>
      </c>
      <c r="R72" s="12">
        <f t="shared" si="21"/>
        <v>7.4829931972789115E-2</v>
      </c>
      <c r="S72" s="7">
        <v>81</v>
      </c>
      <c r="T72" s="11">
        <f t="shared" si="22"/>
        <v>2.7551020408163266E-2</v>
      </c>
      <c r="U72" s="7">
        <v>2</v>
      </c>
      <c r="V72" s="11">
        <f t="shared" si="23"/>
        <v>6.8027210884353737E-4</v>
      </c>
      <c r="W72" s="7"/>
      <c r="X72" s="11">
        <f t="shared" si="24"/>
        <v>0</v>
      </c>
      <c r="Y72" s="7"/>
      <c r="Z72" s="9">
        <f t="shared" si="25"/>
        <v>0</v>
      </c>
    </row>
    <row r="73" spans="1:26" x14ac:dyDescent="0.2">
      <c r="A73" s="3">
        <v>95</v>
      </c>
      <c r="B73" s="3" t="s">
        <v>75</v>
      </c>
      <c r="C73" s="3">
        <v>106</v>
      </c>
      <c r="D73" s="3">
        <v>461</v>
      </c>
      <c r="E73" s="4">
        <f t="shared" si="14"/>
        <v>176.37960954446856</v>
      </c>
      <c r="F73" s="9">
        <f t="shared" si="15"/>
        <v>0.38260218990123335</v>
      </c>
      <c r="G73" s="7">
        <v>104</v>
      </c>
      <c r="H73" s="11">
        <f t="shared" si="16"/>
        <v>0.22559652928416485</v>
      </c>
      <c r="I73" s="7">
        <v>12</v>
      </c>
      <c r="J73" s="11">
        <f t="shared" si="17"/>
        <v>2.6030368763557483E-2</v>
      </c>
      <c r="K73" s="7">
        <v>21</v>
      </c>
      <c r="L73" s="11">
        <f t="shared" si="18"/>
        <v>4.5553145336225599E-2</v>
      </c>
      <c r="M73" s="7">
        <v>10</v>
      </c>
      <c r="N73" s="11">
        <f t="shared" si="19"/>
        <v>2.1691973969631236E-2</v>
      </c>
      <c r="O73" s="7">
        <v>0</v>
      </c>
      <c r="P73" s="11">
        <f t="shared" si="20"/>
        <v>0</v>
      </c>
      <c r="Q73" s="8">
        <f t="shared" si="13"/>
        <v>31</v>
      </c>
      <c r="R73" s="12">
        <f t="shared" si="21"/>
        <v>6.7245119305856832E-2</v>
      </c>
      <c r="S73" s="7">
        <v>22</v>
      </c>
      <c r="T73" s="11">
        <f t="shared" si="22"/>
        <v>4.7722342733188719E-2</v>
      </c>
      <c r="U73" s="7">
        <v>5</v>
      </c>
      <c r="V73" s="11">
        <f t="shared" si="23"/>
        <v>1.0845986984815618E-2</v>
      </c>
      <c r="W73" s="7">
        <v>1</v>
      </c>
      <c r="X73" s="11">
        <f t="shared" si="24"/>
        <v>2.1691973969631237E-3</v>
      </c>
      <c r="Y73" s="7">
        <v>1</v>
      </c>
      <c r="Z73" s="9">
        <f t="shared" si="25"/>
        <v>2.1691973969631237E-3</v>
      </c>
    </row>
    <row r="74" spans="1:26" x14ac:dyDescent="0.2">
      <c r="A74" s="3">
        <v>96</v>
      </c>
      <c r="B74" s="3" t="s">
        <v>76</v>
      </c>
      <c r="C74" s="3">
        <v>118</v>
      </c>
      <c r="D74" s="3">
        <v>18551</v>
      </c>
      <c r="E74" s="4">
        <f t="shared" si="14"/>
        <v>5961.3213303865032</v>
      </c>
      <c r="F74" s="9">
        <f t="shared" si="15"/>
        <v>0.3213477079611074</v>
      </c>
      <c r="G74" s="7">
        <v>3056</v>
      </c>
      <c r="H74" s="11">
        <f t="shared" si="16"/>
        <v>0.16473505471403158</v>
      </c>
      <c r="I74" s="7">
        <v>1996</v>
      </c>
      <c r="J74" s="11">
        <f t="shared" si="17"/>
        <v>0.10759527788259393</v>
      </c>
      <c r="K74" s="7">
        <v>437</v>
      </c>
      <c r="L74" s="11">
        <f t="shared" si="18"/>
        <v>2.3556681580507791E-2</v>
      </c>
      <c r="M74" s="7">
        <v>152</v>
      </c>
      <c r="N74" s="11">
        <f t="shared" si="19"/>
        <v>8.1936283758287966E-3</v>
      </c>
      <c r="O74" s="7">
        <v>0</v>
      </c>
      <c r="P74" s="11">
        <f t="shared" si="20"/>
        <v>0</v>
      </c>
      <c r="Q74" s="8">
        <f t="shared" si="13"/>
        <v>589</v>
      </c>
      <c r="R74" s="12">
        <f t="shared" si="21"/>
        <v>3.1750309956336584E-2</v>
      </c>
      <c r="S74" s="7">
        <v>295</v>
      </c>
      <c r="T74" s="11">
        <f t="shared" si="22"/>
        <v>1.5902107703088784E-2</v>
      </c>
      <c r="U74" s="7">
        <v>25</v>
      </c>
      <c r="V74" s="11">
        <f t="shared" si="23"/>
        <v>1.3476362460244731E-3</v>
      </c>
      <c r="W74" s="7">
        <v>0</v>
      </c>
      <c r="X74" s="11">
        <f t="shared" si="24"/>
        <v>0</v>
      </c>
      <c r="Y74" s="7"/>
      <c r="Z74" s="9">
        <f t="shared" si="25"/>
        <v>0</v>
      </c>
    </row>
    <row r="75" spans="1:26" x14ac:dyDescent="0.2">
      <c r="A75" s="3">
        <v>97</v>
      </c>
      <c r="B75" s="3" t="s">
        <v>77</v>
      </c>
      <c r="C75" s="3">
        <v>109</v>
      </c>
      <c r="D75" s="3">
        <v>8281</v>
      </c>
      <c r="E75" s="4">
        <f t="shared" si="14"/>
        <v>3234.3854606931527</v>
      </c>
      <c r="F75" s="9">
        <f t="shared" si="15"/>
        <v>0.39057909198081786</v>
      </c>
      <c r="G75" s="7">
        <v>1737</v>
      </c>
      <c r="H75" s="11">
        <f t="shared" si="16"/>
        <v>0.20975727569134162</v>
      </c>
      <c r="I75" s="7">
        <v>884</v>
      </c>
      <c r="J75" s="11">
        <f t="shared" si="17"/>
        <v>0.10675039246467818</v>
      </c>
      <c r="K75" s="7">
        <v>234</v>
      </c>
      <c r="L75" s="11">
        <f t="shared" si="18"/>
        <v>2.8257456828885402E-2</v>
      </c>
      <c r="M75" s="7">
        <v>78</v>
      </c>
      <c r="N75" s="11">
        <f t="shared" si="19"/>
        <v>9.4191522762951327E-3</v>
      </c>
      <c r="O75" s="7">
        <v>0</v>
      </c>
      <c r="P75" s="11">
        <f t="shared" si="20"/>
        <v>0</v>
      </c>
      <c r="Q75" s="8">
        <f t="shared" si="13"/>
        <v>312</v>
      </c>
      <c r="R75" s="12">
        <f t="shared" si="21"/>
        <v>3.7676609105180531E-2</v>
      </c>
      <c r="S75" s="7">
        <v>203</v>
      </c>
      <c r="T75" s="11">
        <f t="shared" si="22"/>
        <v>2.4513947590870666E-2</v>
      </c>
      <c r="U75" s="7">
        <v>55</v>
      </c>
      <c r="V75" s="11">
        <f t="shared" si="23"/>
        <v>6.6417099384132351E-3</v>
      </c>
      <c r="W75" s="7">
        <v>1</v>
      </c>
      <c r="X75" s="11">
        <f t="shared" si="24"/>
        <v>1.2075836251660427E-4</v>
      </c>
      <c r="Y75" s="7">
        <v>42</v>
      </c>
      <c r="Z75" s="9">
        <f t="shared" si="25"/>
        <v>5.0718512256973797E-3</v>
      </c>
    </row>
    <row r="76" spans="1:26" x14ac:dyDescent="0.2">
      <c r="A76" s="3">
        <v>98</v>
      </c>
      <c r="B76" s="3" t="s">
        <v>78</v>
      </c>
      <c r="C76" s="3">
        <v>110</v>
      </c>
      <c r="D76" s="3">
        <v>856</v>
      </c>
      <c r="E76" s="4">
        <f t="shared" si="14"/>
        <v>254.29672897196264</v>
      </c>
      <c r="F76" s="9">
        <f t="shared" si="15"/>
        <v>0.29707561795790027</v>
      </c>
      <c r="G76" s="7">
        <v>118</v>
      </c>
      <c r="H76" s="11">
        <f t="shared" si="16"/>
        <v>0.13785046728971961</v>
      </c>
      <c r="I76" s="7">
        <v>93</v>
      </c>
      <c r="J76" s="11">
        <f t="shared" si="17"/>
        <v>0.10864485981308411</v>
      </c>
      <c r="K76" s="7">
        <v>22</v>
      </c>
      <c r="L76" s="11">
        <f t="shared" si="18"/>
        <v>2.5700934579439252E-2</v>
      </c>
      <c r="M76" s="7"/>
      <c r="N76" s="11">
        <f t="shared" si="19"/>
        <v>0</v>
      </c>
      <c r="O76" s="7"/>
      <c r="P76" s="11">
        <f t="shared" si="20"/>
        <v>0</v>
      </c>
      <c r="Q76" s="8">
        <f t="shared" si="13"/>
        <v>22</v>
      </c>
      <c r="R76" s="12">
        <f t="shared" si="21"/>
        <v>2.5700934579439252E-2</v>
      </c>
      <c r="S76" s="7">
        <v>21</v>
      </c>
      <c r="T76" s="11">
        <f t="shared" si="22"/>
        <v>2.4532710280373831E-2</v>
      </c>
      <c r="U76" s="7"/>
      <c r="V76" s="11">
        <f t="shared" si="23"/>
        <v>0</v>
      </c>
      <c r="W76" s="7"/>
      <c r="X76" s="11">
        <f t="shared" si="24"/>
        <v>0</v>
      </c>
      <c r="Y76" s="7"/>
      <c r="Z76" s="9">
        <f t="shared" si="25"/>
        <v>0</v>
      </c>
    </row>
    <row r="77" spans="1:26" x14ac:dyDescent="0.2">
      <c r="A77" s="3">
        <v>99</v>
      </c>
      <c r="B77" s="3" t="s">
        <v>79</v>
      </c>
      <c r="C77" s="3">
        <v>101</v>
      </c>
      <c r="D77" s="3">
        <v>1394</v>
      </c>
      <c r="E77" s="4">
        <f t="shared" si="14"/>
        <v>511.36657101865131</v>
      </c>
      <c r="F77" s="9">
        <f t="shared" si="15"/>
        <v>0.36683398207937684</v>
      </c>
      <c r="G77" s="7">
        <v>217</v>
      </c>
      <c r="H77" s="11">
        <f t="shared" si="16"/>
        <v>0.15566714490674319</v>
      </c>
      <c r="I77" s="7">
        <v>208</v>
      </c>
      <c r="J77" s="11">
        <f t="shared" si="17"/>
        <v>0.14921090387374461</v>
      </c>
      <c r="K77" s="7">
        <v>17</v>
      </c>
      <c r="L77" s="11">
        <f t="shared" si="18"/>
        <v>1.2195121951219513E-2</v>
      </c>
      <c r="M77" s="7"/>
      <c r="N77" s="11">
        <f t="shared" si="19"/>
        <v>0</v>
      </c>
      <c r="O77" s="7"/>
      <c r="P77" s="11">
        <f t="shared" si="20"/>
        <v>0</v>
      </c>
      <c r="Q77" s="8">
        <f t="shared" si="13"/>
        <v>17</v>
      </c>
      <c r="R77" s="12">
        <f t="shared" si="21"/>
        <v>1.2195121951219513E-2</v>
      </c>
      <c r="S77" s="7">
        <v>68</v>
      </c>
      <c r="T77" s="11">
        <f t="shared" si="22"/>
        <v>4.878048780487805E-2</v>
      </c>
      <c r="U77" s="7"/>
      <c r="V77" s="11">
        <f t="shared" si="23"/>
        <v>0</v>
      </c>
      <c r="W77" s="7">
        <v>1</v>
      </c>
      <c r="X77" s="11">
        <f t="shared" si="24"/>
        <v>7.173601147776184E-4</v>
      </c>
      <c r="Y77" s="7"/>
      <c r="Z77" s="9">
        <f t="shared" si="25"/>
        <v>0</v>
      </c>
    </row>
    <row r="78" spans="1:26" x14ac:dyDescent="0.2">
      <c r="A78" s="3">
        <v>100</v>
      </c>
      <c r="B78" s="3" t="s">
        <v>80</v>
      </c>
      <c r="C78" s="3">
        <v>110</v>
      </c>
      <c r="D78" s="3">
        <v>2335</v>
      </c>
      <c r="E78" s="4">
        <f t="shared" si="14"/>
        <v>1003.4149892933618</v>
      </c>
      <c r="F78" s="9">
        <f t="shared" si="15"/>
        <v>0.42972804680657894</v>
      </c>
      <c r="G78" s="7">
        <v>444</v>
      </c>
      <c r="H78" s="11">
        <f t="shared" si="16"/>
        <v>0.19014989293361884</v>
      </c>
      <c r="I78" s="7">
        <v>292</v>
      </c>
      <c r="J78" s="11">
        <f t="shared" si="17"/>
        <v>0.12505353319057816</v>
      </c>
      <c r="K78" s="7">
        <v>99</v>
      </c>
      <c r="L78" s="11">
        <f t="shared" si="18"/>
        <v>4.23982869379015E-2</v>
      </c>
      <c r="M78" s="7">
        <v>47</v>
      </c>
      <c r="N78" s="11">
        <f t="shared" si="19"/>
        <v>2.012847965738758E-2</v>
      </c>
      <c r="O78" s="7">
        <v>0</v>
      </c>
      <c r="P78" s="11">
        <f t="shared" si="20"/>
        <v>0</v>
      </c>
      <c r="Q78" s="8">
        <f t="shared" si="13"/>
        <v>146</v>
      </c>
      <c r="R78" s="12">
        <f t="shared" si="21"/>
        <v>6.2526766595289079E-2</v>
      </c>
      <c r="S78" s="7">
        <v>80</v>
      </c>
      <c r="T78" s="11">
        <f t="shared" si="22"/>
        <v>3.4261241970021415E-2</v>
      </c>
      <c r="U78" s="7">
        <v>5</v>
      </c>
      <c r="V78" s="11">
        <f t="shared" si="23"/>
        <v>2.1413276231263384E-3</v>
      </c>
      <c r="W78" s="7">
        <v>2</v>
      </c>
      <c r="X78" s="11">
        <f t="shared" si="24"/>
        <v>8.5653104925053529E-4</v>
      </c>
      <c r="Y78" s="7">
        <v>34</v>
      </c>
      <c r="Z78" s="9">
        <f t="shared" si="25"/>
        <v>1.4561027837259101E-2</v>
      </c>
    </row>
    <row r="79" spans="1:26" x14ac:dyDescent="0.2">
      <c r="A79" s="3">
        <v>101</v>
      </c>
      <c r="B79" s="3" t="s">
        <v>81</v>
      </c>
      <c r="C79" s="3">
        <v>114</v>
      </c>
      <c r="D79" s="3">
        <v>3583</v>
      </c>
      <c r="E79" s="4">
        <f t="shared" si="14"/>
        <v>1220.3377058331007</v>
      </c>
      <c r="F79" s="9">
        <f t="shared" si="15"/>
        <v>0.34059104265506579</v>
      </c>
      <c r="G79" s="7">
        <v>646</v>
      </c>
      <c r="H79" s="11">
        <f t="shared" si="16"/>
        <v>0.18029584147362546</v>
      </c>
      <c r="I79" s="7">
        <v>263</v>
      </c>
      <c r="J79" s="11">
        <f t="shared" si="17"/>
        <v>7.340217694669271E-2</v>
      </c>
      <c r="K79" s="7">
        <v>149</v>
      </c>
      <c r="L79" s="11">
        <f t="shared" si="18"/>
        <v>4.1585263745464694E-2</v>
      </c>
      <c r="M79" s="7">
        <v>58</v>
      </c>
      <c r="N79" s="11">
        <f t="shared" si="19"/>
        <v>1.6187552330449346E-2</v>
      </c>
      <c r="O79" s="7"/>
      <c r="P79" s="11">
        <f t="shared" si="20"/>
        <v>0</v>
      </c>
      <c r="Q79" s="8">
        <f t="shared" si="13"/>
        <v>207</v>
      </c>
      <c r="R79" s="12">
        <f t="shared" si="21"/>
        <v>5.7772816075914037E-2</v>
      </c>
      <c r="S79" s="7">
        <v>79</v>
      </c>
      <c r="T79" s="11">
        <f t="shared" si="22"/>
        <v>2.2048562656991347E-2</v>
      </c>
      <c r="U79" s="7">
        <v>14</v>
      </c>
      <c r="V79" s="11">
        <f t="shared" si="23"/>
        <v>3.9073402176946692E-3</v>
      </c>
      <c r="W79" s="7">
        <v>1</v>
      </c>
      <c r="X79" s="11">
        <f t="shared" si="24"/>
        <v>2.7909572983533354E-4</v>
      </c>
      <c r="Y79" s="7">
        <v>10</v>
      </c>
      <c r="Z79" s="9">
        <f t="shared" si="25"/>
        <v>2.7909572983533353E-3</v>
      </c>
    </row>
    <row r="80" spans="1:26" x14ac:dyDescent="0.2">
      <c r="A80" s="3">
        <v>102</v>
      </c>
      <c r="B80" s="3" t="s">
        <v>82</v>
      </c>
      <c r="C80" s="3">
        <v>89</v>
      </c>
      <c r="D80" s="3">
        <v>1987</v>
      </c>
      <c r="E80" s="4">
        <f t="shared" si="14"/>
        <v>650.32712632108701</v>
      </c>
      <c r="F80" s="9">
        <f t="shared" si="15"/>
        <v>0.32729095436390893</v>
      </c>
      <c r="G80" s="7">
        <v>348</v>
      </c>
      <c r="H80" s="11">
        <f t="shared" si="16"/>
        <v>0.17513839959738298</v>
      </c>
      <c r="I80" s="7">
        <v>194</v>
      </c>
      <c r="J80" s="11">
        <f t="shared" si="17"/>
        <v>9.7634625062908903E-2</v>
      </c>
      <c r="K80" s="7">
        <v>32</v>
      </c>
      <c r="L80" s="11">
        <f t="shared" si="18"/>
        <v>1.6104680422747861E-2</v>
      </c>
      <c r="M80" s="7"/>
      <c r="N80" s="11">
        <f t="shared" si="19"/>
        <v>0</v>
      </c>
      <c r="O80" s="7">
        <v>27</v>
      </c>
      <c r="P80" s="11">
        <f t="shared" si="20"/>
        <v>1.3588324106693507E-2</v>
      </c>
      <c r="Q80" s="8">
        <f t="shared" si="13"/>
        <v>59</v>
      </c>
      <c r="R80" s="12">
        <f t="shared" si="21"/>
        <v>2.9693004529441368E-2</v>
      </c>
      <c r="S80" s="7">
        <v>40</v>
      </c>
      <c r="T80" s="11">
        <f t="shared" si="22"/>
        <v>2.0130850528434826E-2</v>
      </c>
      <c r="U80" s="7">
        <v>8</v>
      </c>
      <c r="V80" s="11">
        <f t="shared" si="23"/>
        <v>4.0261701056869652E-3</v>
      </c>
      <c r="W80" s="7">
        <v>1</v>
      </c>
      <c r="X80" s="11">
        <f t="shared" si="24"/>
        <v>5.0327126321087065E-4</v>
      </c>
      <c r="Y80" s="7"/>
      <c r="Z80" s="9">
        <f t="shared" si="25"/>
        <v>0</v>
      </c>
    </row>
    <row r="81" spans="1:26" x14ac:dyDescent="0.2">
      <c r="A81" s="3">
        <v>111</v>
      </c>
      <c r="B81" s="3" t="s">
        <v>83</v>
      </c>
      <c r="C81" s="3">
        <v>102</v>
      </c>
      <c r="D81" s="3">
        <v>5049</v>
      </c>
      <c r="E81" s="4">
        <f t="shared" si="14"/>
        <v>2160.3860170330759</v>
      </c>
      <c r="F81" s="9">
        <f t="shared" si="15"/>
        <v>0.4278839407869035</v>
      </c>
      <c r="G81" s="7">
        <v>1116</v>
      </c>
      <c r="H81" s="11">
        <f t="shared" si="16"/>
        <v>0.22103386809269163</v>
      </c>
      <c r="I81" s="7">
        <v>281</v>
      </c>
      <c r="J81" s="11">
        <f t="shared" si="17"/>
        <v>5.5654585066349772E-2</v>
      </c>
      <c r="K81" s="7">
        <v>241</v>
      </c>
      <c r="L81" s="11">
        <f t="shared" si="18"/>
        <v>4.7732224202812437E-2</v>
      </c>
      <c r="M81" s="7">
        <v>91</v>
      </c>
      <c r="N81" s="11">
        <f t="shared" si="19"/>
        <v>1.8023370964547435E-2</v>
      </c>
      <c r="O81" s="7"/>
      <c r="P81" s="11">
        <f t="shared" si="20"/>
        <v>0</v>
      </c>
      <c r="Q81" s="8">
        <f t="shared" si="13"/>
        <v>332</v>
      </c>
      <c r="R81" s="12">
        <f t="shared" si="21"/>
        <v>6.5755595167359876E-2</v>
      </c>
      <c r="S81" s="7">
        <v>145</v>
      </c>
      <c r="T81" s="11">
        <f t="shared" si="22"/>
        <v>2.8718558130322838E-2</v>
      </c>
      <c r="U81" s="7">
        <v>72</v>
      </c>
      <c r="V81" s="11">
        <f t="shared" si="23"/>
        <v>1.4260249554367201E-2</v>
      </c>
      <c r="W81" s="7">
        <v>3</v>
      </c>
      <c r="X81" s="11">
        <f t="shared" si="24"/>
        <v>5.941770647653001E-4</v>
      </c>
      <c r="Y81" s="7">
        <v>211</v>
      </c>
      <c r="Z81" s="9">
        <f t="shared" si="25"/>
        <v>4.1790453555159437E-2</v>
      </c>
    </row>
    <row r="82" spans="1:26" x14ac:dyDescent="0.2">
      <c r="A82" s="3">
        <v>112</v>
      </c>
      <c r="B82" s="3" t="s">
        <v>84</v>
      </c>
      <c r="C82" s="3">
        <v>112</v>
      </c>
      <c r="D82" s="3">
        <v>7367</v>
      </c>
      <c r="E82" s="4">
        <f t="shared" si="14"/>
        <v>2568.3450522600788</v>
      </c>
      <c r="F82" s="9">
        <f t="shared" si="15"/>
        <v>0.34862834970273909</v>
      </c>
      <c r="G82" s="7">
        <v>1244</v>
      </c>
      <c r="H82" s="11">
        <f t="shared" si="16"/>
        <v>0.16886113750509027</v>
      </c>
      <c r="I82" s="7">
        <v>747</v>
      </c>
      <c r="J82" s="11">
        <f t="shared" si="17"/>
        <v>0.10139812678159359</v>
      </c>
      <c r="K82" s="7">
        <v>260</v>
      </c>
      <c r="L82" s="11">
        <f t="shared" si="18"/>
        <v>3.5292520700420799E-2</v>
      </c>
      <c r="M82" s="7">
        <v>78</v>
      </c>
      <c r="N82" s="11">
        <f t="shared" si="19"/>
        <v>1.0587756210126238E-2</v>
      </c>
      <c r="O82" s="7"/>
      <c r="P82" s="11">
        <f t="shared" si="20"/>
        <v>0</v>
      </c>
      <c r="Q82" s="8">
        <f t="shared" si="13"/>
        <v>338</v>
      </c>
      <c r="R82" s="12">
        <f t="shared" si="21"/>
        <v>4.5880276910547031E-2</v>
      </c>
      <c r="S82" s="7">
        <v>187</v>
      </c>
      <c r="T82" s="11">
        <f t="shared" si="22"/>
        <v>2.5383466811456496E-2</v>
      </c>
      <c r="U82" s="7">
        <v>25</v>
      </c>
      <c r="V82" s="11">
        <f t="shared" si="23"/>
        <v>3.393511605809692E-3</v>
      </c>
      <c r="W82" s="7">
        <v>1</v>
      </c>
      <c r="X82" s="11">
        <f t="shared" si="24"/>
        <v>1.3574046423238766E-4</v>
      </c>
      <c r="Y82" s="7">
        <v>26</v>
      </c>
      <c r="Z82" s="9">
        <f t="shared" si="25"/>
        <v>3.5292520700420794E-3</v>
      </c>
    </row>
    <row r="83" spans="1:26" x14ac:dyDescent="0.2">
      <c r="A83" s="3">
        <v>113</v>
      </c>
      <c r="B83" s="3" t="s">
        <v>85</v>
      </c>
      <c r="C83" s="3">
        <v>115</v>
      </c>
      <c r="D83" s="3">
        <v>7645</v>
      </c>
      <c r="E83" s="4">
        <f t="shared" si="14"/>
        <v>1900.246566383257</v>
      </c>
      <c r="F83" s="9">
        <f t="shared" si="15"/>
        <v>0.24856070194679622</v>
      </c>
      <c r="G83" s="7">
        <v>939</v>
      </c>
      <c r="H83" s="11">
        <f t="shared" si="16"/>
        <v>0.12282537606278614</v>
      </c>
      <c r="I83" s="7">
        <v>585</v>
      </c>
      <c r="J83" s="11">
        <f t="shared" si="17"/>
        <v>7.652060170045781E-2</v>
      </c>
      <c r="K83" s="7">
        <v>170</v>
      </c>
      <c r="L83" s="11">
        <f t="shared" si="18"/>
        <v>2.2236756049705691E-2</v>
      </c>
      <c r="M83" s="7">
        <v>48</v>
      </c>
      <c r="N83" s="11">
        <f t="shared" si="19"/>
        <v>6.2786134728580771E-3</v>
      </c>
      <c r="O83" s="7">
        <v>0</v>
      </c>
      <c r="P83" s="11">
        <f t="shared" si="20"/>
        <v>0</v>
      </c>
      <c r="Q83" s="8">
        <f t="shared" si="13"/>
        <v>218</v>
      </c>
      <c r="R83" s="12">
        <f t="shared" si="21"/>
        <v>2.8515369522563769E-2</v>
      </c>
      <c r="S83" s="7">
        <v>124</v>
      </c>
      <c r="T83" s="11">
        <f t="shared" si="22"/>
        <v>1.6219751471550033E-2</v>
      </c>
      <c r="U83" s="7">
        <v>17</v>
      </c>
      <c r="V83" s="11">
        <f t="shared" si="23"/>
        <v>2.2236756049705689E-3</v>
      </c>
      <c r="W83" s="7">
        <v>2</v>
      </c>
      <c r="X83" s="11">
        <f t="shared" si="24"/>
        <v>2.6160889470241988E-4</v>
      </c>
      <c r="Y83" s="7">
        <v>15</v>
      </c>
      <c r="Z83" s="9">
        <f t="shared" si="25"/>
        <v>1.9620667102681491E-3</v>
      </c>
    </row>
    <row r="84" spans="1:26" x14ac:dyDescent="0.2">
      <c r="A84" s="3">
        <v>114</v>
      </c>
      <c r="B84" s="3" t="s">
        <v>86</v>
      </c>
      <c r="C84" s="3">
        <v>124</v>
      </c>
      <c r="D84" s="3">
        <v>2494</v>
      </c>
      <c r="E84" s="4">
        <f t="shared" si="14"/>
        <v>814.31355252606261</v>
      </c>
      <c r="F84" s="9">
        <f t="shared" si="15"/>
        <v>0.32650904271293607</v>
      </c>
      <c r="G84" s="7">
        <v>546</v>
      </c>
      <c r="H84" s="11">
        <f t="shared" si="16"/>
        <v>0.21892542101042503</v>
      </c>
      <c r="I84" s="7">
        <v>77</v>
      </c>
      <c r="J84" s="11">
        <f t="shared" si="17"/>
        <v>3.0874097834803528E-2</v>
      </c>
      <c r="K84" s="7">
        <v>74</v>
      </c>
      <c r="L84" s="11">
        <f t="shared" si="18"/>
        <v>2.9671210906174819E-2</v>
      </c>
      <c r="M84" s="7">
        <v>12</v>
      </c>
      <c r="N84" s="11">
        <f t="shared" si="19"/>
        <v>4.8115477145148355E-3</v>
      </c>
      <c r="O84" s="7">
        <v>0</v>
      </c>
      <c r="P84" s="11">
        <f t="shared" si="20"/>
        <v>0</v>
      </c>
      <c r="Q84" s="8">
        <f t="shared" si="13"/>
        <v>86</v>
      </c>
      <c r="R84" s="12">
        <f t="shared" si="21"/>
        <v>3.4482758620689655E-2</v>
      </c>
      <c r="S84" s="7">
        <v>67</v>
      </c>
      <c r="T84" s="11">
        <f t="shared" si="22"/>
        <v>2.6864474739374498E-2</v>
      </c>
      <c r="U84" s="7">
        <v>5</v>
      </c>
      <c r="V84" s="11">
        <f t="shared" si="23"/>
        <v>2.0048115477145148E-3</v>
      </c>
      <c r="W84" s="7">
        <v>1</v>
      </c>
      <c r="X84" s="11">
        <f t="shared" si="24"/>
        <v>4.0096230954290296E-4</v>
      </c>
      <c r="Y84" s="7">
        <v>32</v>
      </c>
      <c r="Z84" s="9">
        <f t="shared" si="25"/>
        <v>1.2830793905372895E-2</v>
      </c>
    </row>
    <row r="85" spans="1:26" x14ac:dyDescent="0.2">
      <c r="A85" s="3">
        <v>115</v>
      </c>
      <c r="B85" s="3" t="s">
        <v>87</v>
      </c>
      <c r="C85" s="3">
        <v>119</v>
      </c>
      <c r="D85" s="3">
        <v>10257</v>
      </c>
      <c r="E85" s="4">
        <f t="shared" si="14"/>
        <v>3277.3141269377015</v>
      </c>
      <c r="F85" s="9">
        <f t="shared" si="15"/>
        <v>0.31951975499051394</v>
      </c>
      <c r="G85" s="7">
        <v>1418</v>
      </c>
      <c r="H85" s="11">
        <f t="shared" si="16"/>
        <v>0.1382470507945793</v>
      </c>
      <c r="I85" s="7">
        <v>808</v>
      </c>
      <c r="J85" s="11">
        <f t="shared" si="17"/>
        <v>7.8775470410451395E-2</v>
      </c>
      <c r="K85" s="7">
        <v>476</v>
      </c>
      <c r="L85" s="11">
        <f t="shared" si="18"/>
        <v>4.6407331578434241E-2</v>
      </c>
      <c r="M85" s="7">
        <v>169</v>
      </c>
      <c r="N85" s="11">
        <f t="shared" si="19"/>
        <v>1.6476552598225603E-2</v>
      </c>
      <c r="O85" s="7">
        <v>0</v>
      </c>
      <c r="P85" s="11">
        <f t="shared" si="20"/>
        <v>0</v>
      </c>
      <c r="Q85" s="8">
        <f t="shared" si="13"/>
        <v>645</v>
      </c>
      <c r="R85" s="12">
        <f t="shared" si="21"/>
        <v>6.2883884176659841E-2</v>
      </c>
      <c r="S85" s="7">
        <v>272</v>
      </c>
      <c r="T85" s="11">
        <f t="shared" si="22"/>
        <v>2.6518475187676707E-2</v>
      </c>
      <c r="U85" s="7">
        <v>76</v>
      </c>
      <c r="V85" s="11">
        <f t="shared" si="23"/>
        <v>7.4095739494979039E-3</v>
      </c>
      <c r="W85" s="7">
        <v>3</v>
      </c>
      <c r="X85" s="11">
        <f t="shared" si="24"/>
        <v>2.9248318221702252E-4</v>
      </c>
      <c r="Y85" s="7">
        <v>55</v>
      </c>
      <c r="Z85" s="9">
        <f t="shared" si="25"/>
        <v>5.3621916739787466E-3</v>
      </c>
    </row>
    <row r="86" spans="1:26" x14ac:dyDescent="0.2">
      <c r="A86" s="3">
        <v>116</v>
      </c>
      <c r="B86" s="3" t="s">
        <v>88</v>
      </c>
      <c r="C86" s="3">
        <v>113</v>
      </c>
      <c r="D86" s="3">
        <v>3715</v>
      </c>
      <c r="E86" s="4">
        <f t="shared" si="14"/>
        <v>1386.3730820995961</v>
      </c>
      <c r="F86" s="9">
        <f t="shared" si="15"/>
        <v>0.37318252546422503</v>
      </c>
      <c r="G86" s="7">
        <v>655</v>
      </c>
      <c r="H86" s="11">
        <f t="shared" si="16"/>
        <v>0.17631224764468373</v>
      </c>
      <c r="I86" s="7">
        <v>518</v>
      </c>
      <c r="J86" s="11">
        <f t="shared" si="17"/>
        <v>0.13943472409152086</v>
      </c>
      <c r="K86" s="7">
        <v>78</v>
      </c>
      <c r="L86" s="11">
        <f t="shared" si="18"/>
        <v>2.0995962314939436E-2</v>
      </c>
      <c r="M86" s="7">
        <v>65</v>
      </c>
      <c r="N86" s="11">
        <f t="shared" si="19"/>
        <v>1.7496635262449527E-2</v>
      </c>
      <c r="O86" s="7">
        <v>3</v>
      </c>
      <c r="P86" s="11">
        <f t="shared" si="20"/>
        <v>8.0753701211305523E-4</v>
      </c>
      <c r="Q86" s="8">
        <f t="shared" si="13"/>
        <v>146</v>
      </c>
      <c r="R86" s="12">
        <f t="shared" si="21"/>
        <v>3.9300134589502017E-2</v>
      </c>
      <c r="S86" s="7">
        <v>67</v>
      </c>
      <c r="T86" s="11">
        <f t="shared" si="22"/>
        <v>1.80349932705249E-2</v>
      </c>
      <c r="U86" s="7"/>
      <c r="V86" s="11">
        <f t="shared" si="23"/>
        <v>0</v>
      </c>
      <c r="W86" s="7"/>
      <c r="X86" s="11">
        <f t="shared" si="24"/>
        <v>0</v>
      </c>
      <c r="Y86" s="7"/>
      <c r="Z86" s="9">
        <f t="shared" si="25"/>
        <v>0</v>
      </c>
    </row>
    <row r="87" spans="1:26" x14ac:dyDescent="0.2">
      <c r="A87" s="3">
        <v>117</v>
      </c>
      <c r="B87" s="3" t="s">
        <v>89</v>
      </c>
      <c r="C87" s="3">
        <v>112</v>
      </c>
      <c r="D87" s="3">
        <v>11344</v>
      </c>
      <c r="E87" s="4">
        <f t="shared" si="14"/>
        <v>5866.5097849083213</v>
      </c>
      <c r="F87" s="9">
        <f t="shared" si="15"/>
        <v>0.51714649020700998</v>
      </c>
      <c r="G87" s="7">
        <v>2668</v>
      </c>
      <c r="H87" s="11">
        <f t="shared" si="16"/>
        <v>0.2351904090267983</v>
      </c>
      <c r="I87" s="7">
        <v>1106</v>
      </c>
      <c r="J87" s="11">
        <f t="shared" si="17"/>
        <v>9.7496473906911144E-2</v>
      </c>
      <c r="K87" s="7">
        <v>715</v>
      </c>
      <c r="L87" s="11">
        <f t="shared" si="18"/>
        <v>6.3028913963328631E-2</v>
      </c>
      <c r="M87" s="7">
        <v>455</v>
      </c>
      <c r="N87" s="11">
        <f t="shared" si="19"/>
        <v>4.0109308885754584E-2</v>
      </c>
      <c r="O87" s="7"/>
      <c r="P87" s="11">
        <f t="shared" si="20"/>
        <v>0</v>
      </c>
      <c r="Q87" s="8">
        <f t="shared" si="13"/>
        <v>1170</v>
      </c>
      <c r="R87" s="12">
        <f t="shared" si="21"/>
        <v>0.10313822284908322</v>
      </c>
      <c r="S87" s="7">
        <v>572</v>
      </c>
      <c r="T87" s="11">
        <f t="shared" si="22"/>
        <v>5.0423131170662903E-2</v>
      </c>
      <c r="U87" s="7">
        <v>251</v>
      </c>
      <c r="V87" s="11">
        <f t="shared" si="23"/>
        <v>2.21262341325811E-2</v>
      </c>
      <c r="W87" s="7">
        <v>16</v>
      </c>
      <c r="X87" s="11">
        <f t="shared" si="24"/>
        <v>1.4104372355430183E-3</v>
      </c>
      <c r="Y87" s="7">
        <v>83</v>
      </c>
      <c r="Z87" s="9">
        <f t="shared" si="25"/>
        <v>7.3166431593794075E-3</v>
      </c>
    </row>
    <row r="88" spans="1:26" x14ac:dyDescent="0.2">
      <c r="A88" s="3">
        <v>118</v>
      </c>
      <c r="B88" s="3" t="s">
        <v>90</v>
      </c>
      <c r="C88" s="3">
        <v>121</v>
      </c>
      <c r="D88" s="3">
        <v>12485</v>
      </c>
      <c r="E88" s="4">
        <f t="shared" si="14"/>
        <v>5557.4450941129362</v>
      </c>
      <c r="F88" s="9">
        <f t="shared" si="15"/>
        <v>0.44512976324492881</v>
      </c>
      <c r="G88" s="7">
        <v>2193</v>
      </c>
      <c r="H88" s="11">
        <f t="shared" si="16"/>
        <v>0.17565078093712455</v>
      </c>
      <c r="I88" s="7">
        <v>1661</v>
      </c>
      <c r="J88" s="11">
        <f t="shared" si="17"/>
        <v>0.13303964757709252</v>
      </c>
      <c r="K88" s="7">
        <v>765</v>
      </c>
      <c r="L88" s="11">
        <f t="shared" si="18"/>
        <v>6.1273528233880659E-2</v>
      </c>
      <c r="M88" s="7">
        <v>407</v>
      </c>
      <c r="N88" s="11">
        <f t="shared" si="19"/>
        <v>3.2599118942731278E-2</v>
      </c>
      <c r="O88" s="7"/>
      <c r="P88" s="11">
        <f t="shared" si="20"/>
        <v>0</v>
      </c>
      <c r="Q88" s="8">
        <f t="shared" si="13"/>
        <v>1172</v>
      </c>
      <c r="R88" s="12">
        <f t="shared" si="21"/>
        <v>9.3872647176611937E-2</v>
      </c>
      <c r="S88" s="7">
        <v>408</v>
      </c>
      <c r="T88" s="11">
        <f t="shared" si="22"/>
        <v>3.2679215058069686E-2</v>
      </c>
      <c r="U88" s="7">
        <v>116</v>
      </c>
      <c r="V88" s="11">
        <f t="shared" si="23"/>
        <v>9.2911493792551068E-3</v>
      </c>
      <c r="W88" s="7">
        <v>7</v>
      </c>
      <c r="X88" s="11">
        <f t="shared" si="24"/>
        <v>5.6067280736884259E-4</v>
      </c>
      <c r="Y88" s="7"/>
      <c r="Z88" s="9">
        <f t="shared" si="25"/>
        <v>0</v>
      </c>
    </row>
    <row r="89" spans="1:26" x14ac:dyDescent="0.2">
      <c r="A89" s="3">
        <v>119</v>
      </c>
      <c r="B89" s="3" t="s">
        <v>91</v>
      </c>
      <c r="C89" s="3">
        <v>113</v>
      </c>
      <c r="D89" s="5">
        <v>1423</v>
      </c>
      <c r="E89" s="4">
        <f t="shared" si="14"/>
        <v>518.35980323260719</v>
      </c>
      <c r="F89" s="9">
        <f t="shared" si="15"/>
        <v>0.36427252511075697</v>
      </c>
      <c r="G89" s="7">
        <v>281</v>
      </c>
      <c r="H89" s="11">
        <f t="shared" si="16"/>
        <v>0.19747013352073084</v>
      </c>
      <c r="I89" s="7">
        <v>156</v>
      </c>
      <c r="J89" s="11">
        <f t="shared" si="17"/>
        <v>0.10962754743499649</v>
      </c>
      <c r="K89" s="7">
        <v>28</v>
      </c>
      <c r="L89" s="11">
        <f t="shared" si="18"/>
        <v>1.9676739283204497E-2</v>
      </c>
      <c r="M89" s="7">
        <v>11</v>
      </c>
      <c r="N89" s="11">
        <f t="shared" si="19"/>
        <v>7.7301475755446238E-3</v>
      </c>
      <c r="O89" s="7"/>
      <c r="P89" s="11">
        <f t="shared" si="20"/>
        <v>0</v>
      </c>
      <c r="Q89" s="8">
        <f t="shared" si="13"/>
        <v>39</v>
      </c>
      <c r="R89" s="12">
        <f t="shared" si="21"/>
        <v>2.7406886858749122E-2</v>
      </c>
      <c r="S89" s="7">
        <v>31</v>
      </c>
      <c r="T89" s="11">
        <f t="shared" si="22"/>
        <v>2.1784961349262121E-2</v>
      </c>
      <c r="U89" s="7">
        <v>5</v>
      </c>
      <c r="V89" s="11">
        <f t="shared" si="23"/>
        <v>3.5137034434293743E-3</v>
      </c>
      <c r="W89" s="7">
        <v>0</v>
      </c>
      <c r="X89" s="11">
        <f t="shared" si="24"/>
        <v>0</v>
      </c>
      <c r="Y89" s="7">
        <v>6</v>
      </c>
      <c r="Z89" s="9">
        <f t="shared" si="25"/>
        <v>4.216444132115249E-3</v>
      </c>
    </row>
    <row r="90" spans="1:26" x14ac:dyDescent="0.2">
      <c r="A90" s="3">
        <v>120</v>
      </c>
      <c r="B90" s="3" t="s">
        <v>92</v>
      </c>
      <c r="C90" s="3">
        <v>122</v>
      </c>
      <c r="D90" s="3">
        <v>10182</v>
      </c>
      <c r="E90" s="4">
        <f t="shared" si="14"/>
        <v>3570.3445295619722</v>
      </c>
      <c r="F90" s="9">
        <f t="shared" si="15"/>
        <v>0.35065257607169242</v>
      </c>
      <c r="G90" s="7">
        <v>1931</v>
      </c>
      <c r="H90" s="11">
        <f t="shared" si="16"/>
        <v>0.18964839913572973</v>
      </c>
      <c r="I90" s="7">
        <v>440</v>
      </c>
      <c r="J90" s="11">
        <f t="shared" si="17"/>
        <v>4.3213514044392068E-2</v>
      </c>
      <c r="K90" s="7">
        <v>487</v>
      </c>
      <c r="L90" s="11">
        <f t="shared" si="18"/>
        <v>4.7829503044588488E-2</v>
      </c>
      <c r="M90" s="7">
        <v>220</v>
      </c>
      <c r="N90" s="11">
        <f t="shared" si="19"/>
        <v>2.1606757022196034E-2</v>
      </c>
      <c r="O90" s="7"/>
      <c r="P90" s="11">
        <f t="shared" si="20"/>
        <v>0</v>
      </c>
      <c r="Q90" s="8">
        <f t="shared" si="13"/>
        <v>707</v>
      </c>
      <c r="R90" s="12">
        <f t="shared" si="21"/>
        <v>6.9436260066784522E-2</v>
      </c>
      <c r="S90" s="7">
        <v>320</v>
      </c>
      <c r="T90" s="11">
        <f t="shared" si="22"/>
        <v>3.1428010214103318E-2</v>
      </c>
      <c r="U90" s="7">
        <v>108</v>
      </c>
      <c r="V90" s="11">
        <f t="shared" si="23"/>
        <v>1.060695344725987E-2</v>
      </c>
      <c r="W90" s="7">
        <v>2</v>
      </c>
      <c r="X90" s="11">
        <f t="shared" si="24"/>
        <v>1.9642506383814575E-4</v>
      </c>
      <c r="Y90" s="7">
        <v>62</v>
      </c>
      <c r="Z90" s="9">
        <f t="shared" si="25"/>
        <v>6.0891769789825183E-3</v>
      </c>
    </row>
    <row r="91" spans="1:26" x14ac:dyDescent="0.2">
      <c r="A91" s="3">
        <v>121</v>
      </c>
      <c r="B91" s="3" t="s">
        <v>93</v>
      </c>
      <c r="C91" s="3">
        <v>119</v>
      </c>
      <c r="D91" s="3">
        <v>25038</v>
      </c>
      <c r="E91" s="4">
        <f t="shared" si="14"/>
        <v>9651.3775061905908</v>
      </c>
      <c r="F91" s="9">
        <f t="shared" si="15"/>
        <v>0.38546918708325706</v>
      </c>
      <c r="G91" s="7">
        <v>4986</v>
      </c>
      <c r="H91" s="11">
        <f t="shared" si="16"/>
        <v>0.199137311286844</v>
      </c>
      <c r="I91" s="7">
        <v>1861</v>
      </c>
      <c r="J91" s="11">
        <f t="shared" si="17"/>
        <v>7.4327022925153766E-2</v>
      </c>
      <c r="K91" s="7">
        <v>1135</v>
      </c>
      <c r="L91" s="11">
        <f t="shared" si="18"/>
        <v>4.5331096732965891E-2</v>
      </c>
      <c r="M91" s="7">
        <v>536</v>
      </c>
      <c r="N91" s="11">
        <f t="shared" si="19"/>
        <v>2.1407460659797109E-2</v>
      </c>
      <c r="O91" s="7"/>
      <c r="P91" s="11">
        <f t="shared" si="20"/>
        <v>0</v>
      </c>
      <c r="Q91" s="8">
        <f t="shared" si="13"/>
        <v>1671</v>
      </c>
      <c r="R91" s="12">
        <f t="shared" si="21"/>
        <v>6.6738557392763007E-2</v>
      </c>
      <c r="S91" s="7">
        <v>765</v>
      </c>
      <c r="T91" s="11">
        <f t="shared" si="22"/>
        <v>3.0553558590941769E-2</v>
      </c>
      <c r="U91" s="7">
        <v>167</v>
      </c>
      <c r="V91" s="11">
        <f t="shared" si="23"/>
        <v>6.669861810048726E-3</v>
      </c>
      <c r="W91" s="7">
        <v>2</v>
      </c>
      <c r="X91" s="11">
        <f t="shared" si="24"/>
        <v>7.9878584551481747E-5</v>
      </c>
      <c r="Y91" s="7">
        <v>199</v>
      </c>
      <c r="Z91" s="9">
        <f t="shared" si="25"/>
        <v>7.9479191628724338E-3</v>
      </c>
    </row>
    <row r="92" spans="1:26" x14ac:dyDescent="0.2">
      <c r="A92" s="3">
        <v>131</v>
      </c>
      <c r="B92" s="3" t="s">
        <v>94</v>
      </c>
      <c r="C92" s="3">
        <v>100</v>
      </c>
      <c r="D92" s="3">
        <v>19004</v>
      </c>
      <c r="E92" s="4">
        <f t="shared" si="14"/>
        <v>7261.3776047147976</v>
      </c>
      <c r="F92" s="9">
        <f t="shared" si="15"/>
        <v>0.3820973271266469</v>
      </c>
      <c r="G92" s="7">
        <v>3936</v>
      </c>
      <c r="H92" s="11">
        <f t="shared" si="16"/>
        <v>0.20711429172805726</v>
      </c>
      <c r="I92" s="7">
        <v>1246</v>
      </c>
      <c r="J92" s="11">
        <f t="shared" si="17"/>
        <v>6.5565144180172591E-2</v>
      </c>
      <c r="K92" s="7">
        <v>816</v>
      </c>
      <c r="L92" s="11">
        <f t="shared" si="18"/>
        <v>4.2938328772889917E-2</v>
      </c>
      <c r="M92" s="7">
        <v>440</v>
      </c>
      <c r="N92" s="11">
        <f t="shared" si="19"/>
        <v>2.3153020416754367E-2</v>
      </c>
      <c r="O92" s="7"/>
      <c r="P92" s="11">
        <f t="shared" si="20"/>
        <v>0</v>
      </c>
      <c r="Q92" s="8">
        <f t="shared" si="13"/>
        <v>1256</v>
      </c>
      <c r="R92" s="12">
        <f t="shared" si="21"/>
        <v>6.609134918964428E-2</v>
      </c>
      <c r="S92" s="7">
        <v>584</v>
      </c>
      <c r="T92" s="11">
        <f t="shared" si="22"/>
        <v>3.0730372553146704E-2</v>
      </c>
      <c r="U92" s="7">
        <v>151</v>
      </c>
      <c r="V92" s="11">
        <f t="shared" si="23"/>
        <v>7.9456956430225215E-3</v>
      </c>
      <c r="W92" s="7">
        <v>3</v>
      </c>
      <c r="X92" s="11">
        <f t="shared" si="24"/>
        <v>1.5786150284150704E-4</v>
      </c>
      <c r="Y92" s="7">
        <v>85</v>
      </c>
      <c r="Z92" s="9">
        <f t="shared" si="25"/>
        <v>4.4727425805093663E-3</v>
      </c>
    </row>
    <row r="93" spans="1:26" x14ac:dyDescent="0.2">
      <c r="A93" s="3">
        <v>135</v>
      </c>
      <c r="B93" s="3" t="s">
        <v>95</v>
      </c>
      <c r="C93" s="3">
        <v>72</v>
      </c>
      <c r="D93" s="3">
        <v>9189</v>
      </c>
      <c r="E93" s="4">
        <f t="shared" si="14"/>
        <v>2708.2947001850039</v>
      </c>
      <c r="F93" s="9">
        <f t="shared" si="15"/>
        <v>0.29473225597834407</v>
      </c>
      <c r="G93" s="7">
        <v>1461</v>
      </c>
      <c r="H93" s="11">
        <f t="shared" si="16"/>
        <v>0.15899444988573294</v>
      </c>
      <c r="I93" s="7">
        <v>694</v>
      </c>
      <c r="J93" s="11">
        <f t="shared" si="17"/>
        <v>7.552508433997171E-2</v>
      </c>
      <c r="K93" s="7">
        <v>227</v>
      </c>
      <c r="L93" s="11">
        <f t="shared" si="18"/>
        <v>2.4703449776907173E-2</v>
      </c>
      <c r="M93" s="7">
        <v>85</v>
      </c>
      <c r="N93" s="11">
        <f t="shared" si="19"/>
        <v>9.2501904450973983E-3</v>
      </c>
      <c r="O93" s="7"/>
      <c r="P93" s="11">
        <f t="shared" si="20"/>
        <v>0</v>
      </c>
      <c r="Q93" s="8">
        <f t="shared" si="13"/>
        <v>312</v>
      </c>
      <c r="R93" s="12">
        <f t="shared" si="21"/>
        <v>3.3953640222004568E-2</v>
      </c>
      <c r="S93" s="7">
        <v>225</v>
      </c>
      <c r="T93" s="11">
        <f t="shared" si="22"/>
        <v>2.4485798237022526E-2</v>
      </c>
      <c r="U93" s="7">
        <v>15</v>
      </c>
      <c r="V93" s="11">
        <f t="shared" si="23"/>
        <v>1.632386549134835E-3</v>
      </c>
      <c r="W93" s="7">
        <v>1</v>
      </c>
      <c r="X93" s="11">
        <f t="shared" si="24"/>
        <v>1.0882576994232234E-4</v>
      </c>
      <c r="Y93" s="7"/>
      <c r="Z93" s="9">
        <f t="shared" si="25"/>
        <v>0</v>
      </c>
    </row>
    <row r="94" spans="1:26" x14ac:dyDescent="0.2">
      <c r="A94" s="3">
        <v>136</v>
      </c>
      <c r="B94" s="3" t="s">
        <v>96</v>
      </c>
      <c r="C94" s="3">
        <v>106</v>
      </c>
      <c r="D94" s="3">
        <v>7880</v>
      </c>
      <c r="E94" s="4">
        <f t="shared" si="14"/>
        <v>2112.2593908629442</v>
      </c>
      <c r="F94" s="9">
        <f t="shared" si="15"/>
        <v>0.26805322219072897</v>
      </c>
      <c r="G94" s="7">
        <v>1059</v>
      </c>
      <c r="H94" s="11">
        <f t="shared" si="16"/>
        <v>0.13439086294416244</v>
      </c>
      <c r="I94" s="7">
        <v>720</v>
      </c>
      <c r="J94" s="11">
        <f t="shared" si="17"/>
        <v>9.1370558375634514E-2</v>
      </c>
      <c r="K94" s="7"/>
      <c r="L94" s="11">
        <f t="shared" si="18"/>
        <v>0</v>
      </c>
      <c r="M94" s="7">
        <v>0</v>
      </c>
      <c r="N94" s="11">
        <f t="shared" si="19"/>
        <v>0</v>
      </c>
      <c r="O94" s="7">
        <v>0</v>
      </c>
      <c r="P94" s="11">
        <f t="shared" si="20"/>
        <v>0</v>
      </c>
      <c r="Q94" s="8">
        <f t="shared" si="13"/>
        <v>0</v>
      </c>
      <c r="R94" s="12">
        <f t="shared" si="21"/>
        <v>0</v>
      </c>
      <c r="S94" s="7">
        <v>227</v>
      </c>
      <c r="T94" s="11">
        <f t="shared" si="22"/>
        <v>2.880710659898477E-2</v>
      </c>
      <c r="U94" s="7">
        <v>34</v>
      </c>
      <c r="V94" s="11">
        <f t="shared" si="23"/>
        <v>4.3147208121827414E-3</v>
      </c>
      <c r="W94" s="7">
        <v>4</v>
      </c>
      <c r="X94" s="11">
        <f t="shared" si="24"/>
        <v>5.0761421319796957E-4</v>
      </c>
      <c r="Y94" s="7">
        <v>68</v>
      </c>
      <c r="Z94" s="9">
        <f t="shared" si="25"/>
        <v>8.6294416243654828E-3</v>
      </c>
    </row>
    <row r="95" spans="1:26" x14ac:dyDescent="0.2">
      <c r="A95" s="3">
        <v>137</v>
      </c>
      <c r="B95" s="3" t="s">
        <v>97</v>
      </c>
      <c r="C95" s="3">
        <v>88</v>
      </c>
      <c r="D95" s="3">
        <v>5118</v>
      </c>
      <c r="E95" s="4">
        <f t="shared" si="14"/>
        <v>2271.4421649081673</v>
      </c>
      <c r="F95" s="9">
        <f t="shared" si="15"/>
        <v>0.44381441283864154</v>
      </c>
      <c r="G95" s="7">
        <v>872</v>
      </c>
      <c r="H95" s="11">
        <f t="shared" si="16"/>
        <v>0.170379054318093</v>
      </c>
      <c r="I95" s="7">
        <v>854</v>
      </c>
      <c r="J95" s="11">
        <f t="shared" si="17"/>
        <v>0.16686205549042596</v>
      </c>
      <c r="K95" s="7">
        <v>280</v>
      </c>
      <c r="L95" s="11">
        <f t="shared" si="18"/>
        <v>5.4708870652598669E-2</v>
      </c>
      <c r="M95" s="7">
        <v>81</v>
      </c>
      <c r="N95" s="11">
        <f t="shared" si="19"/>
        <v>1.5826494724501757E-2</v>
      </c>
      <c r="O95" s="7"/>
      <c r="P95" s="11">
        <f t="shared" si="20"/>
        <v>0</v>
      </c>
      <c r="Q95" s="8">
        <f t="shared" si="13"/>
        <v>361</v>
      </c>
      <c r="R95" s="12">
        <f t="shared" si="21"/>
        <v>7.0535365377100423E-2</v>
      </c>
      <c r="S95" s="7">
        <v>155</v>
      </c>
      <c r="T95" s="11">
        <f t="shared" si="22"/>
        <v>3.0285267682688549E-2</v>
      </c>
      <c r="U95" s="7">
        <v>17</v>
      </c>
      <c r="V95" s="11">
        <f t="shared" si="23"/>
        <v>3.3216100039077765E-3</v>
      </c>
      <c r="W95" s="7">
        <v>4</v>
      </c>
      <c r="X95" s="11">
        <f t="shared" si="24"/>
        <v>7.8155529503712393E-4</v>
      </c>
      <c r="Y95" s="7">
        <v>8</v>
      </c>
      <c r="Z95" s="9">
        <f t="shared" si="25"/>
        <v>1.5631105900742479E-3</v>
      </c>
    </row>
    <row r="96" spans="1:26" x14ac:dyDescent="0.2">
      <c r="A96" s="3">
        <v>138</v>
      </c>
      <c r="B96" s="3" t="s">
        <v>98</v>
      </c>
      <c r="C96" s="3">
        <v>101</v>
      </c>
      <c r="D96" s="3">
        <v>13647</v>
      </c>
      <c r="E96" s="4">
        <f t="shared" si="14"/>
        <v>5105.3628636330332</v>
      </c>
      <c r="F96" s="9">
        <f t="shared" si="15"/>
        <v>0.37410147751396156</v>
      </c>
      <c r="G96" s="7">
        <v>2100</v>
      </c>
      <c r="H96" s="11">
        <f t="shared" si="16"/>
        <v>0.15387997362057595</v>
      </c>
      <c r="I96" s="7">
        <v>1666</v>
      </c>
      <c r="J96" s="11">
        <f t="shared" si="17"/>
        <v>0.12207811240565693</v>
      </c>
      <c r="K96" s="7">
        <v>498</v>
      </c>
      <c r="L96" s="11">
        <f t="shared" si="18"/>
        <v>3.6491536601450866E-2</v>
      </c>
      <c r="M96" s="7">
        <v>211</v>
      </c>
      <c r="N96" s="11">
        <f t="shared" si="19"/>
        <v>1.5461273539972155E-2</v>
      </c>
      <c r="O96" s="7"/>
      <c r="P96" s="11">
        <f t="shared" si="20"/>
        <v>0</v>
      </c>
      <c r="Q96" s="8">
        <f t="shared" si="13"/>
        <v>709</v>
      </c>
      <c r="R96" s="12">
        <f t="shared" si="21"/>
        <v>5.1952810141423021E-2</v>
      </c>
      <c r="S96" s="7">
        <v>447</v>
      </c>
      <c r="T96" s="11">
        <f t="shared" si="22"/>
        <v>3.2754451527808308E-2</v>
      </c>
      <c r="U96" s="7">
        <v>28</v>
      </c>
      <c r="V96" s="11">
        <f t="shared" si="23"/>
        <v>2.0517329816076794E-3</v>
      </c>
      <c r="W96" s="7">
        <v>2</v>
      </c>
      <c r="X96" s="11">
        <f t="shared" si="24"/>
        <v>1.4655235582911996E-4</v>
      </c>
      <c r="Y96" s="7">
        <v>153</v>
      </c>
      <c r="Z96" s="9">
        <f t="shared" si="25"/>
        <v>1.1211255220927677E-2</v>
      </c>
    </row>
    <row r="97" spans="1:26" x14ac:dyDescent="0.2">
      <c r="A97" s="3">
        <v>139</v>
      </c>
      <c r="B97" s="3" t="s">
        <v>99</v>
      </c>
      <c r="C97" s="3">
        <v>73</v>
      </c>
      <c r="D97" s="3">
        <v>6120</v>
      </c>
      <c r="E97" s="4">
        <f t="shared" si="14"/>
        <v>2281.372712418301</v>
      </c>
      <c r="F97" s="9">
        <f t="shared" si="15"/>
        <v>0.37277331902259819</v>
      </c>
      <c r="G97" s="7">
        <v>1056</v>
      </c>
      <c r="H97" s="11">
        <f t="shared" si="16"/>
        <v>0.17254901960784313</v>
      </c>
      <c r="I97" s="7">
        <v>760</v>
      </c>
      <c r="J97" s="11">
        <f t="shared" si="17"/>
        <v>0.12418300653594772</v>
      </c>
      <c r="K97" s="7">
        <v>130</v>
      </c>
      <c r="L97" s="11">
        <f t="shared" si="18"/>
        <v>2.1241830065359478E-2</v>
      </c>
      <c r="M97" s="7">
        <v>62</v>
      </c>
      <c r="N97" s="11">
        <f t="shared" si="19"/>
        <v>1.0130718954248366E-2</v>
      </c>
      <c r="O97" s="7"/>
      <c r="P97" s="11">
        <f t="shared" si="20"/>
        <v>0</v>
      </c>
      <c r="Q97" s="8">
        <f t="shared" si="13"/>
        <v>192</v>
      </c>
      <c r="R97" s="12">
        <f t="shared" si="21"/>
        <v>3.1372549019607843E-2</v>
      </c>
      <c r="S97" s="7">
        <v>260</v>
      </c>
      <c r="T97" s="11">
        <f t="shared" si="22"/>
        <v>4.2483660130718956E-2</v>
      </c>
      <c r="U97" s="7">
        <v>13</v>
      </c>
      <c r="V97" s="11">
        <f t="shared" si="23"/>
        <v>2.1241830065359475E-3</v>
      </c>
      <c r="W97" s="7">
        <v>0</v>
      </c>
      <c r="X97" s="11">
        <f t="shared" si="24"/>
        <v>0</v>
      </c>
      <c r="Y97" s="7">
        <v>0</v>
      </c>
      <c r="Z97" s="9">
        <f t="shared" si="25"/>
        <v>0</v>
      </c>
    </row>
    <row r="98" spans="1:26" x14ac:dyDescent="0.2">
      <c r="A98" s="3">
        <v>141</v>
      </c>
      <c r="B98" s="3" t="s">
        <v>100</v>
      </c>
      <c r="C98" s="3">
        <v>85</v>
      </c>
      <c r="D98" s="3">
        <v>18263</v>
      </c>
      <c r="E98" s="4">
        <f t="shared" si="14"/>
        <v>6038.3280950555763</v>
      </c>
      <c r="F98" s="9">
        <f t="shared" si="15"/>
        <v>0.33063177435555913</v>
      </c>
      <c r="G98" s="7">
        <v>3020</v>
      </c>
      <c r="H98" s="11">
        <f t="shared" si="16"/>
        <v>0.16536166018726386</v>
      </c>
      <c r="I98" s="7">
        <v>1355</v>
      </c>
      <c r="J98" s="11">
        <f t="shared" si="17"/>
        <v>7.4193725017795545E-2</v>
      </c>
      <c r="K98" s="7">
        <v>658</v>
      </c>
      <c r="L98" s="11">
        <f t="shared" si="18"/>
        <v>3.6029129934840934E-2</v>
      </c>
      <c r="M98" s="7">
        <v>334</v>
      </c>
      <c r="N98" s="11">
        <f t="shared" si="19"/>
        <v>1.8288342550511965E-2</v>
      </c>
      <c r="O98" s="7"/>
      <c r="P98" s="11">
        <f t="shared" si="20"/>
        <v>0</v>
      </c>
      <c r="Q98" s="8">
        <f t="shared" si="13"/>
        <v>992</v>
      </c>
      <c r="R98" s="12">
        <f t="shared" si="21"/>
        <v>5.4317472485352902E-2</v>
      </c>
      <c r="S98" s="7">
        <v>546</v>
      </c>
      <c r="T98" s="11">
        <f t="shared" si="22"/>
        <v>2.9896512073591414E-2</v>
      </c>
      <c r="U98" s="7">
        <v>75</v>
      </c>
      <c r="V98" s="11">
        <f t="shared" si="23"/>
        <v>4.1066637463724473E-3</v>
      </c>
      <c r="W98" s="7">
        <v>4</v>
      </c>
      <c r="X98" s="11">
        <f t="shared" si="24"/>
        <v>2.1902206647319718E-4</v>
      </c>
      <c r="Y98" s="7">
        <v>46</v>
      </c>
      <c r="Z98" s="9">
        <f t="shared" si="25"/>
        <v>2.5187537644417676E-3</v>
      </c>
    </row>
    <row r="99" spans="1:26" x14ac:dyDescent="0.2">
      <c r="A99" s="3">
        <v>151</v>
      </c>
      <c r="B99" s="3" t="s">
        <v>101</v>
      </c>
      <c r="C99" s="3">
        <v>79</v>
      </c>
      <c r="D99" s="3">
        <v>5600</v>
      </c>
      <c r="E99" s="4">
        <f t="shared" si="14"/>
        <v>2129.3785714285714</v>
      </c>
      <c r="F99" s="9">
        <f t="shared" si="15"/>
        <v>0.38024617346938777</v>
      </c>
      <c r="G99" s="7">
        <v>1078</v>
      </c>
      <c r="H99" s="11">
        <f t="shared" si="16"/>
        <v>0.1925</v>
      </c>
      <c r="I99" s="7">
        <v>464</v>
      </c>
      <c r="J99" s="11">
        <f t="shared" si="17"/>
        <v>8.2857142857142851E-2</v>
      </c>
      <c r="K99" s="7">
        <v>214</v>
      </c>
      <c r="L99" s="11">
        <f t="shared" si="18"/>
        <v>3.8214285714285715E-2</v>
      </c>
      <c r="M99" s="7">
        <v>91</v>
      </c>
      <c r="N99" s="11">
        <f t="shared" si="19"/>
        <v>1.6250000000000001E-2</v>
      </c>
      <c r="O99" s="7">
        <v>0</v>
      </c>
      <c r="P99" s="11">
        <f t="shared" si="20"/>
        <v>0</v>
      </c>
      <c r="Q99" s="8">
        <f t="shared" si="13"/>
        <v>305</v>
      </c>
      <c r="R99" s="12">
        <f t="shared" si="21"/>
        <v>5.4464285714285715E-2</v>
      </c>
      <c r="S99" s="7">
        <v>245</v>
      </c>
      <c r="T99" s="11">
        <f t="shared" si="22"/>
        <v>4.3749999999999997E-2</v>
      </c>
      <c r="U99" s="7">
        <v>27</v>
      </c>
      <c r="V99" s="11">
        <f t="shared" si="23"/>
        <v>4.8214285714285711E-3</v>
      </c>
      <c r="W99" s="7">
        <v>1</v>
      </c>
      <c r="X99" s="11">
        <f t="shared" si="24"/>
        <v>1.7857142857142857E-4</v>
      </c>
      <c r="Y99" s="7">
        <v>9</v>
      </c>
      <c r="Z99" s="9">
        <f t="shared" si="25"/>
        <v>1.6071428571428571E-3</v>
      </c>
    </row>
    <row r="100" spans="1:26" x14ac:dyDescent="0.2">
      <c r="A100" s="3">
        <v>152</v>
      </c>
      <c r="B100" s="3" t="s">
        <v>102</v>
      </c>
      <c r="C100" s="3">
        <v>78</v>
      </c>
      <c r="D100" s="3">
        <v>6566</v>
      </c>
      <c r="E100" s="4">
        <f t="shared" si="14"/>
        <v>1897.2887602802314</v>
      </c>
      <c r="F100" s="9">
        <f t="shared" si="15"/>
        <v>0.28895655806887471</v>
      </c>
      <c r="G100" s="7">
        <v>966</v>
      </c>
      <c r="H100" s="11">
        <f t="shared" si="16"/>
        <v>0.14712153518123666</v>
      </c>
      <c r="I100" s="7">
        <v>426</v>
      </c>
      <c r="J100" s="11">
        <f t="shared" si="17"/>
        <v>6.4879683216570214E-2</v>
      </c>
      <c r="K100" s="7">
        <v>204</v>
      </c>
      <c r="L100" s="11">
        <f t="shared" si="18"/>
        <v>3.1069144075540664E-2</v>
      </c>
      <c r="M100" s="7">
        <v>82</v>
      </c>
      <c r="N100" s="11">
        <f t="shared" si="19"/>
        <v>1.2488577520560463E-2</v>
      </c>
      <c r="O100" s="7"/>
      <c r="P100" s="11">
        <f t="shared" si="20"/>
        <v>0</v>
      </c>
      <c r="Q100" s="8">
        <f t="shared" si="13"/>
        <v>286</v>
      </c>
      <c r="R100" s="12">
        <f t="shared" si="21"/>
        <v>4.3557721596101127E-2</v>
      </c>
      <c r="S100" s="7">
        <v>201</v>
      </c>
      <c r="T100" s="11">
        <f t="shared" si="22"/>
        <v>3.0612244897959183E-2</v>
      </c>
      <c r="U100" s="7">
        <v>15</v>
      </c>
      <c r="V100" s="11">
        <f t="shared" si="23"/>
        <v>2.2844958879074018E-3</v>
      </c>
      <c r="W100" s="7">
        <v>2</v>
      </c>
      <c r="X100" s="11">
        <f t="shared" si="24"/>
        <v>3.0459945172098691E-4</v>
      </c>
      <c r="Y100" s="7">
        <v>1</v>
      </c>
      <c r="Z100" s="9">
        <f t="shared" si="25"/>
        <v>1.5229972586049346E-4</v>
      </c>
    </row>
    <row r="101" spans="1:26" x14ac:dyDescent="0.2">
      <c r="A101" s="3">
        <v>153</v>
      </c>
      <c r="B101" s="3" t="s">
        <v>103</v>
      </c>
      <c r="C101" s="3">
        <v>119</v>
      </c>
      <c r="D101" s="3">
        <v>8814</v>
      </c>
      <c r="E101" s="4">
        <f t="shared" si="14"/>
        <v>3895.4320399364647</v>
      </c>
      <c r="F101" s="9">
        <f t="shared" si="15"/>
        <v>0.4419596142428483</v>
      </c>
      <c r="G101" s="7">
        <v>1541</v>
      </c>
      <c r="H101" s="11">
        <f t="shared" si="16"/>
        <v>0.17483548899478102</v>
      </c>
      <c r="I101" s="7">
        <v>1362</v>
      </c>
      <c r="J101" s="11">
        <f t="shared" si="17"/>
        <v>0.15452688904016337</v>
      </c>
      <c r="K101" s="7">
        <v>377</v>
      </c>
      <c r="L101" s="11">
        <f t="shared" si="18"/>
        <v>4.2772861356932153E-2</v>
      </c>
      <c r="M101" s="7">
        <v>144</v>
      </c>
      <c r="N101" s="11">
        <f t="shared" si="19"/>
        <v>1.6337644656228726E-2</v>
      </c>
      <c r="O101" s="7"/>
      <c r="P101" s="11">
        <f t="shared" si="20"/>
        <v>0</v>
      </c>
      <c r="Q101" s="8">
        <f t="shared" si="13"/>
        <v>521</v>
      </c>
      <c r="R101" s="12">
        <f t="shared" si="21"/>
        <v>5.9110506013160882E-2</v>
      </c>
      <c r="S101" s="7">
        <v>287</v>
      </c>
      <c r="T101" s="11">
        <f t="shared" si="22"/>
        <v>3.2561833446789201E-2</v>
      </c>
      <c r="U101" s="7">
        <v>95</v>
      </c>
      <c r="V101" s="11">
        <f t="shared" si="23"/>
        <v>1.077830723848423E-2</v>
      </c>
      <c r="W101" s="7">
        <v>2</v>
      </c>
      <c r="X101" s="11">
        <f t="shared" si="24"/>
        <v>2.2691173133651009E-4</v>
      </c>
      <c r="Y101" s="7">
        <v>87</v>
      </c>
      <c r="Z101" s="9">
        <f t="shared" si="25"/>
        <v>9.8706603131381888E-3</v>
      </c>
    </row>
    <row r="102" spans="1:26" x14ac:dyDescent="0.2">
      <c r="A102" s="3">
        <v>154</v>
      </c>
      <c r="B102" s="3" t="s">
        <v>104</v>
      </c>
      <c r="C102" s="3">
        <v>77</v>
      </c>
      <c r="D102" s="3">
        <v>14806</v>
      </c>
      <c r="E102" s="4">
        <f t="shared" si="14"/>
        <v>5534.3722139673109</v>
      </c>
      <c r="F102" s="9">
        <f t="shared" si="15"/>
        <v>0.37379253099873772</v>
      </c>
      <c r="G102" s="7">
        <v>3167</v>
      </c>
      <c r="H102" s="11">
        <f t="shared" si="16"/>
        <v>0.21389977036336622</v>
      </c>
      <c r="I102" s="7">
        <v>959</v>
      </c>
      <c r="J102" s="11">
        <f t="shared" si="17"/>
        <v>6.4771038768067002E-2</v>
      </c>
      <c r="K102" s="7">
        <v>558</v>
      </c>
      <c r="L102" s="11">
        <f t="shared" si="18"/>
        <v>3.7687424017290284E-2</v>
      </c>
      <c r="M102" s="7">
        <v>291</v>
      </c>
      <c r="N102" s="11">
        <f t="shared" si="19"/>
        <v>1.9654194245576118E-2</v>
      </c>
      <c r="O102" s="7"/>
      <c r="P102" s="11">
        <f t="shared" si="20"/>
        <v>0</v>
      </c>
      <c r="Q102" s="8">
        <f t="shared" si="13"/>
        <v>849</v>
      </c>
      <c r="R102" s="12">
        <f t="shared" si="21"/>
        <v>5.7341618262866406E-2</v>
      </c>
      <c r="S102" s="7">
        <v>461</v>
      </c>
      <c r="T102" s="11">
        <f t="shared" si="22"/>
        <v>3.1136025935431581E-2</v>
      </c>
      <c r="U102" s="7">
        <v>74</v>
      </c>
      <c r="V102" s="11">
        <f t="shared" si="23"/>
        <v>4.9979737944076726E-3</v>
      </c>
      <c r="W102" s="7">
        <v>1</v>
      </c>
      <c r="X102" s="11">
        <f t="shared" si="24"/>
        <v>6.7540186410914489E-5</v>
      </c>
      <c r="Y102" s="7">
        <v>23</v>
      </c>
      <c r="Z102" s="9">
        <f t="shared" si="25"/>
        <v>1.5534242874510333E-3</v>
      </c>
    </row>
    <row r="103" spans="1:26" x14ac:dyDescent="0.2">
      <c r="A103" s="3">
        <v>155</v>
      </c>
      <c r="B103" s="3" t="s">
        <v>105</v>
      </c>
      <c r="C103" s="3">
        <v>95</v>
      </c>
      <c r="D103" s="3">
        <v>11389</v>
      </c>
      <c r="E103" s="4">
        <f t="shared" si="14"/>
        <v>3362.2925629993856</v>
      </c>
      <c r="F103" s="9">
        <f t="shared" si="15"/>
        <v>0.29522280823596325</v>
      </c>
      <c r="G103" s="7">
        <v>1547</v>
      </c>
      <c r="H103" s="11">
        <f t="shared" si="16"/>
        <v>0.13583282114320835</v>
      </c>
      <c r="I103" s="7">
        <v>787</v>
      </c>
      <c r="J103" s="11">
        <f t="shared" si="17"/>
        <v>6.9101764860830625E-2</v>
      </c>
      <c r="K103" s="7">
        <v>403</v>
      </c>
      <c r="L103" s="11">
        <f t="shared" si="18"/>
        <v>3.5385020633945032E-2</v>
      </c>
      <c r="M103" s="7">
        <v>162</v>
      </c>
      <c r="N103" s="11">
        <f t="shared" si="19"/>
        <v>1.4224251470717359E-2</v>
      </c>
      <c r="O103" s="7"/>
      <c r="P103" s="11">
        <f t="shared" si="20"/>
        <v>0</v>
      </c>
      <c r="Q103" s="8">
        <f t="shared" si="13"/>
        <v>565</v>
      </c>
      <c r="R103" s="12">
        <f t="shared" si="21"/>
        <v>4.9609272104662393E-2</v>
      </c>
      <c r="S103" s="7">
        <v>392</v>
      </c>
      <c r="T103" s="11">
        <f t="shared" si="22"/>
        <v>3.4419176398279044E-2</v>
      </c>
      <c r="U103" s="7">
        <v>40</v>
      </c>
      <c r="V103" s="11">
        <f t="shared" si="23"/>
        <v>3.5121608569672492E-3</v>
      </c>
      <c r="W103" s="7">
        <v>1</v>
      </c>
      <c r="X103" s="11">
        <f t="shared" si="24"/>
        <v>8.7804021424181224E-5</v>
      </c>
      <c r="Y103" s="7">
        <v>30</v>
      </c>
      <c r="Z103" s="9">
        <f t="shared" si="25"/>
        <v>2.6341206427254369E-3</v>
      </c>
    </row>
    <row r="104" spans="1:26" x14ac:dyDescent="0.2">
      <c r="A104" s="3">
        <v>156</v>
      </c>
      <c r="B104" s="3" t="s">
        <v>106</v>
      </c>
      <c r="C104" s="3">
        <v>84</v>
      </c>
      <c r="D104" s="3">
        <v>14525</v>
      </c>
      <c r="E104" s="4">
        <f t="shared" si="14"/>
        <v>6006.4088123924266</v>
      </c>
      <c r="F104" s="9">
        <f t="shared" si="15"/>
        <v>0.41352212133510685</v>
      </c>
      <c r="G104" s="7">
        <v>2622</v>
      </c>
      <c r="H104" s="11">
        <f t="shared" si="16"/>
        <v>0.18051635111876077</v>
      </c>
      <c r="I104" s="7">
        <v>873</v>
      </c>
      <c r="J104" s="11">
        <f t="shared" si="17"/>
        <v>6.0103270223752149E-2</v>
      </c>
      <c r="K104" s="7">
        <v>1044</v>
      </c>
      <c r="L104" s="11">
        <f t="shared" si="18"/>
        <v>7.1876075731497416E-2</v>
      </c>
      <c r="M104" s="7">
        <v>504</v>
      </c>
      <c r="N104" s="11">
        <f t="shared" si="19"/>
        <v>3.4698795180722893E-2</v>
      </c>
      <c r="O104" s="7">
        <v>37</v>
      </c>
      <c r="P104" s="11">
        <f t="shared" si="20"/>
        <v>2.5473321858864029E-3</v>
      </c>
      <c r="Q104" s="8">
        <f t="shared" si="13"/>
        <v>1585</v>
      </c>
      <c r="R104" s="12">
        <f t="shared" si="21"/>
        <v>0.10912220309810672</v>
      </c>
      <c r="S104" s="7">
        <v>613</v>
      </c>
      <c r="T104" s="11">
        <f t="shared" si="22"/>
        <v>4.2203098106712564E-2</v>
      </c>
      <c r="U104" s="7">
        <v>242</v>
      </c>
      <c r="V104" s="11">
        <f t="shared" si="23"/>
        <v>1.666092943201377E-2</v>
      </c>
      <c r="W104" s="7">
        <v>3</v>
      </c>
      <c r="X104" s="11">
        <f t="shared" si="24"/>
        <v>2.0654044750430294E-4</v>
      </c>
      <c r="Y104" s="7">
        <v>68</v>
      </c>
      <c r="Z104" s="9">
        <f t="shared" si="25"/>
        <v>4.6815834767641997E-3</v>
      </c>
    </row>
    <row r="105" spans="1:26" x14ac:dyDescent="0.2">
      <c r="A105" s="3">
        <v>157</v>
      </c>
      <c r="B105" s="3" t="s">
        <v>107</v>
      </c>
      <c r="C105" s="3">
        <v>119</v>
      </c>
      <c r="D105" s="3">
        <v>4848</v>
      </c>
      <c r="E105" s="4">
        <f t="shared" si="14"/>
        <v>2103.4284240924089</v>
      </c>
      <c r="F105" s="9">
        <f t="shared" si="15"/>
        <v>0.43387550001906122</v>
      </c>
      <c r="G105" s="7">
        <v>924</v>
      </c>
      <c r="H105" s="11">
        <f t="shared" si="16"/>
        <v>0.1905940594059406</v>
      </c>
      <c r="I105" s="7">
        <v>686</v>
      </c>
      <c r="J105" s="11">
        <f t="shared" si="17"/>
        <v>0.14150165016501651</v>
      </c>
      <c r="K105" s="7">
        <v>247</v>
      </c>
      <c r="L105" s="11">
        <f t="shared" si="18"/>
        <v>5.0948844884488448E-2</v>
      </c>
      <c r="M105" s="7">
        <v>66</v>
      </c>
      <c r="N105" s="11">
        <f t="shared" si="19"/>
        <v>1.3613861386138614E-2</v>
      </c>
      <c r="O105" s="7"/>
      <c r="P105" s="11">
        <f t="shared" si="20"/>
        <v>0</v>
      </c>
      <c r="Q105" s="8">
        <f t="shared" si="13"/>
        <v>313</v>
      </c>
      <c r="R105" s="12">
        <f t="shared" si="21"/>
        <v>6.456270627062706E-2</v>
      </c>
      <c r="S105" s="7">
        <v>126</v>
      </c>
      <c r="T105" s="11">
        <f t="shared" si="22"/>
        <v>2.5990099009900989E-2</v>
      </c>
      <c r="U105" s="7">
        <v>28</v>
      </c>
      <c r="V105" s="11">
        <f t="shared" si="23"/>
        <v>5.7755775577557752E-3</v>
      </c>
      <c r="W105" s="7">
        <v>0</v>
      </c>
      <c r="X105" s="11">
        <f t="shared" si="24"/>
        <v>0</v>
      </c>
      <c r="Y105" s="7">
        <v>26</v>
      </c>
      <c r="Z105" s="9">
        <f t="shared" si="25"/>
        <v>5.3630363036303629E-3</v>
      </c>
    </row>
    <row r="106" spans="1:26" x14ac:dyDescent="0.2">
      <c r="A106" s="3">
        <v>158</v>
      </c>
      <c r="B106" s="3" t="s">
        <v>108</v>
      </c>
      <c r="C106" s="3">
        <v>88</v>
      </c>
      <c r="D106" s="3">
        <v>14782</v>
      </c>
      <c r="E106" s="4">
        <f t="shared" si="14"/>
        <v>5470.3688946015418</v>
      </c>
      <c r="F106" s="9">
        <f t="shared" si="15"/>
        <v>0.37006960455970384</v>
      </c>
      <c r="G106" s="7">
        <v>2930</v>
      </c>
      <c r="H106" s="11">
        <f t="shared" si="16"/>
        <v>0.19821404410769855</v>
      </c>
      <c r="I106" s="7">
        <v>1232</v>
      </c>
      <c r="J106" s="11">
        <f t="shared" si="17"/>
        <v>8.3344608307400897E-2</v>
      </c>
      <c r="K106" s="7">
        <v>551</v>
      </c>
      <c r="L106" s="11">
        <f t="shared" si="18"/>
        <v>3.7275064267352186E-2</v>
      </c>
      <c r="M106" s="7">
        <v>256</v>
      </c>
      <c r="N106" s="11">
        <f t="shared" si="19"/>
        <v>1.7318360167771614E-2</v>
      </c>
      <c r="O106" s="7"/>
      <c r="P106" s="11">
        <f t="shared" si="20"/>
        <v>0</v>
      </c>
      <c r="Q106" s="8">
        <f t="shared" si="13"/>
        <v>807</v>
      </c>
      <c r="R106" s="12">
        <f t="shared" si="21"/>
        <v>5.45934244351238E-2</v>
      </c>
      <c r="S106" s="7">
        <v>449</v>
      </c>
      <c r="T106" s="11">
        <f t="shared" si="22"/>
        <v>3.0374780138005684E-2</v>
      </c>
      <c r="U106" s="7">
        <v>32</v>
      </c>
      <c r="V106" s="11">
        <f t="shared" si="23"/>
        <v>2.1647950209714517E-3</v>
      </c>
      <c r="W106" s="7">
        <v>3</v>
      </c>
      <c r="X106" s="11">
        <f t="shared" si="24"/>
        <v>2.029495332160736E-4</v>
      </c>
      <c r="Y106" s="7">
        <v>17</v>
      </c>
      <c r="Z106" s="9">
        <f t="shared" si="25"/>
        <v>1.1500473548910837E-3</v>
      </c>
    </row>
    <row r="107" spans="1:26" x14ac:dyDescent="0.2">
      <c r="A107" s="3">
        <v>159</v>
      </c>
      <c r="B107" s="3" t="s">
        <v>109</v>
      </c>
      <c r="C107" s="3">
        <v>87</v>
      </c>
      <c r="D107" s="3">
        <v>6222</v>
      </c>
      <c r="E107" s="4">
        <f t="shared" si="14"/>
        <v>2650.4215686274511</v>
      </c>
      <c r="F107" s="9">
        <f t="shared" si="15"/>
        <v>0.42597582266593553</v>
      </c>
      <c r="G107" s="7">
        <v>1118</v>
      </c>
      <c r="H107" s="11">
        <f t="shared" si="16"/>
        <v>0.17968498874959821</v>
      </c>
      <c r="I107" s="7">
        <v>447</v>
      </c>
      <c r="J107" s="11">
        <f t="shared" si="17"/>
        <v>7.1841851494696241E-2</v>
      </c>
      <c r="K107" s="7">
        <v>432</v>
      </c>
      <c r="L107" s="11">
        <f t="shared" si="18"/>
        <v>6.9431051108968175E-2</v>
      </c>
      <c r="M107" s="7">
        <v>229</v>
      </c>
      <c r="N107" s="11">
        <f t="shared" si="19"/>
        <v>3.6804885888781745E-2</v>
      </c>
      <c r="O107" s="7"/>
      <c r="P107" s="11">
        <f t="shared" si="20"/>
        <v>0</v>
      </c>
      <c r="Q107" s="8">
        <f t="shared" si="13"/>
        <v>661</v>
      </c>
      <c r="R107" s="12">
        <f t="shared" si="21"/>
        <v>0.10623593699774991</v>
      </c>
      <c r="S107" s="7">
        <v>294</v>
      </c>
      <c r="T107" s="11">
        <f t="shared" si="22"/>
        <v>4.7251687560270011E-2</v>
      </c>
      <c r="U107" s="7">
        <v>101</v>
      </c>
      <c r="V107" s="11">
        <f t="shared" si="23"/>
        <v>1.6232722597235617E-2</v>
      </c>
      <c r="W107" s="7">
        <v>2</v>
      </c>
      <c r="X107" s="11">
        <f t="shared" si="24"/>
        <v>3.214400514304082E-4</v>
      </c>
      <c r="Y107" s="7">
        <v>27</v>
      </c>
      <c r="Z107" s="9">
        <f t="shared" si="25"/>
        <v>4.339440694310511E-3</v>
      </c>
    </row>
    <row r="108" spans="1:26" x14ac:dyDescent="0.2">
      <c r="A108" s="3">
        <v>160</v>
      </c>
      <c r="B108" s="3" t="s">
        <v>110</v>
      </c>
      <c r="C108" s="3">
        <v>85</v>
      </c>
      <c r="D108" s="3">
        <v>5573</v>
      </c>
      <c r="E108" s="4">
        <f t="shared" si="14"/>
        <v>2526.4498474789161</v>
      </c>
      <c r="F108" s="9">
        <f t="shared" si="15"/>
        <v>0.45333749281875402</v>
      </c>
      <c r="G108" s="7">
        <v>1092</v>
      </c>
      <c r="H108" s="11">
        <f t="shared" si="16"/>
        <v>0.19594473353669478</v>
      </c>
      <c r="I108" s="7">
        <v>646</v>
      </c>
      <c r="J108" s="11">
        <f t="shared" si="17"/>
        <v>0.11591602368562713</v>
      </c>
      <c r="K108" s="7">
        <v>334</v>
      </c>
      <c r="L108" s="11">
        <f t="shared" si="18"/>
        <v>5.9931814103714336E-2</v>
      </c>
      <c r="M108" s="7">
        <v>159</v>
      </c>
      <c r="N108" s="11">
        <f t="shared" si="19"/>
        <v>2.853041449847479E-2</v>
      </c>
      <c r="O108" s="7"/>
      <c r="P108" s="11">
        <f t="shared" si="20"/>
        <v>0</v>
      </c>
      <c r="Q108" s="8">
        <f t="shared" si="13"/>
        <v>493</v>
      </c>
      <c r="R108" s="12">
        <f t="shared" si="21"/>
        <v>8.8462228602189122E-2</v>
      </c>
      <c r="S108" s="7">
        <v>234</v>
      </c>
      <c r="T108" s="11">
        <f t="shared" si="22"/>
        <v>4.1988157186434595E-2</v>
      </c>
      <c r="U108" s="7">
        <v>42</v>
      </c>
      <c r="V108" s="11">
        <f t="shared" si="23"/>
        <v>7.5363359052574913E-3</v>
      </c>
      <c r="W108" s="7"/>
      <c r="X108" s="11">
        <f t="shared" si="24"/>
        <v>0</v>
      </c>
      <c r="Y108" s="7">
        <v>19</v>
      </c>
      <c r="Z108" s="9">
        <f t="shared" si="25"/>
        <v>3.4092948142831511E-3</v>
      </c>
    </row>
    <row r="109" spans="1:26" x14ac:dyDescent="0.2">
      <c r="A109" s="3">
        <v>161</v>
      </c>
      <c r="B109" s="3" t="s">
        <v>111</v>
      </c>
      <c r="C109" s="3">
        <v>85</v>
      </c>
      <c r="D109" s="3">
        <v>13293</v>
      </c>
      <c r="E109" s="4">
        <f t="shared" si="14"/>
        <v>3849.287895885052</v>
      </c>
      <c r="F109" s="9">
        <f t="shared" si="15"/>
        <v>0.28957254915256542</v>
      </c>
      <c r="G109" s="7">
        <v>2028</v>
      </c>
      <c r="H109" s="11">
        <f t="shared" si="16"/>
        <v>0.1525614985330625</v>
      </c>
      <c r="I109" s="7">
        <v>619</v>
      </c>
      <c r="J109" s="11">
        <f t="shared" si="17"/>
        <v>4.656586173173851E-2</v>
      </c>
      <c r="K109" s="7">
        <v>460</v>
      </c>
      <c r="L109" s="11">
        <f t="shared" si="18"/>
        <v>3.4604679154442188E-2</v>
      </c>
      <c r="M109" s="7">
        <v>205</v>
      </c>
      <c r="N109" s="11">
        <f t="shared" si="19"/>
        <v>1.542165049274054E-2</v>
      </c>
      <c r="O109" s="7"/>
      <c r="P109" s="11">
        <f t="shared" si="20"/>
        <v>0</v>
      </c>
      <c r="Q109" s="8">
        <f t="shared" si="13"/>
        <v>665</v>
      </c>
      <c r="R109" s="12">
        <f t="shared" si="21"/>
        <v>5.0026329647182725E-2</v>
      </c>
      <c r="S109" s="7">
        <v>480</v>
      </c>
      <c r="T109" s="11">
        <f t="shared" si="22"/>
        <v>3.6109230422026628E-2</v>
      </c>
      <c r="U109" s="7">
        <v>33</v>
      </c>
      <c r="V109" s="11">
        <f t="shared" si="23"/>
        <v>2.4825095915143309E-3</v>
      </c>
      <c r="W109" s="7">
        <v>2</v>
      </c>
      <c r="X109" s="11">
        <f t="shared" si="24"/>
        <v>1.5045512675844429E-4</v>
      </c>
      <c r="Y109" s="7">
        <v>22</v>
      </c>
      <c r="Z109" s="9">
        <f t="shared" si="25"/>
        <v>1.6550063943428872E-3</v>
      </c>
    </row>
    <row r="110" spans="1:26" x14ac:dyDescent="0.2">
      <c r="A110" s="3">
        <v>172</v>
      </c>
      <c r="B110" s="3" t="s">
        <v>112</v>
      </c>
      <c r="C110" s="3">
        <v>107</v>
      </c>
      <c r="D110" s="3">
        <v>6573</v>
      </c>
      <c r="E110" s="4">
        <f t="shared" si="14"/>
        <v>2629.3923626958767</v>
      </c>
      <c r="F110" s="9">
        <f t="shared" si="15"/>
        <v>0.40002926558586288</v>
      </c>
      <c r="G110" s="7">
        <v>835</v>
      </c>
      <c r="H110" s="11">
        <f t="shared" si="16"/>
        <v>0.12703483949490341</v>
      </c>
      <c r="I110" s="7">
        <v>1169</v>
      </c>
      <c r="J110" s="11">
        <f t="shared" si="17"/>
        <v>0.17784877529286475</v>
      </c>
      <c r="K110" s="7">
        <v>264</v>
      </c>
      <c r="L110" s="11">
        <f t="shared" si="18"/>
        <v>4.0164308534915566E-2</v>
      </c>
      <c r="M110" s="7">
        <v>87</v>
      </c>
      <c r="N110" s="11">
        <f t="shared" si="19"/>
        <v>1.3235965312642629E-2</v>
      </c>
      <c r="O110" s="7"/>
      <c r="P110" s="11">
        <f t="shared" si="20"/>
        <v>0</v>
      </c>
      <c r="Q110" s="8">
        <f t="shared" si="13"/>
        <v>351</v>
      </c>
      <c r="R110" s="12">
        <f t="shared" si="21"/>
        <v>5.3400273847558195E-2</v>
      </c>
      <c r="S110" s="7">
        <v>171</v>
      </c>
      <c r="T110" s="11">
        <f t="shared" si="22"/>
        <v>2.6015518028297581E-2</v>
      </c>
      <c r="U110" s="7">
        <v>50</v>
      </c>
      <c r="V110" s="11">
        <f t="shared" si="23"/>
        <v>7.6068766164612807E-3</v>
      </c>
      <c r="W110" s="7">
        <v>3</v>
      </c>
      <c r="X110" s="11">
        <f t="shared" si="24"/>
        <v>4.5641259698767686E-4</v>
      </c>
      <c r="Y110" s="7">
        <v>50</v>
      </c>
      <c r="Z110" s="9">
        <f t="shared" si="25"/>
        <v>7.6068766164612807E-3</v>
      </c>
    </row>
    <row r="111" spans="1:26" x14ac:dyDescent="0.2">
      <c r="A111" s="3">
        <v>173</v>
      </c>
      <c r="B111" s="3" t="s">
        <v>113</v>
      </c>
      <c r="C111" s="3">
        <v>116</v>
      </c>
      <c r="D111" s="3">
        <v>3728</v>
      </c>
      <c r="E111" s="4">
        <f t="shared" si="14"/>
        <v>1136.3017703862658</v>
      </c>
      <c r="F111" s="9">
        <f t="shared" si="15"/>
        <v>0.30480197703494255</v>
      </c>
      <c r="G111" s="7">
        <v>528</v>
      </c>
      <c r="H111" s="11">
        <f t="shared" si="16"/>
        <v>0.14163090128755365</v>
      </c>
      <c r="I111" s="7">
        <v>209</v>
      </c>
      <c r="J111" s="11">
        <f t="shared" si="17"/>
        <v>5.6062231759656654E-2</v>
      </c>
      <c r="K111" s="7">
        <v>167</v>
      </c>
      <c r="L111" s="11">
        <f t="shared" si="18"/>
        <v>4.4796137339055797E-2</v>
      </c>
      <c r="M111" s="7">
        <v>76</v>
      </c>
      <c r="N111" s="11">
        <f t="shared" si="19"/>
        <v>2.03862660944206E-2</v>
      </c>
      <c r="O111" s="7"/>
      <c r="P111" s="11">
        <f t="shared" si="20"/>
        <v>0</v>
      </c>
      <c r="Q111" s="8">
        <f t="shared" si="13"/>
        <v>243</v>
      </c>
      <c r="R111" s="12">
        <f t="shared" si="21"/>
        <v>6.5182403433476394E-2</v>
      </c>
      <c r="S111" s="7">
        <v>107</v>
      </c>
      <c r="T111" s="11">
        <f t="shared" si="22"/>
        <v>2.8701716738197425E-2</v>
      </c>
      <c r="U111" s="7">
        <v>38</v>
      </c>
      <c r="V111" s="11">
        <f t="shared" si="23"/>
        <v>1.01931330472103E-2</v>
      </c>
      <c r="W111" s="7">
        <v>0</v>
      </c>
      <c r="X111" s="11">
        <f t="shared" si="24"/>
        <v>0</v>
      </c>
      <c r="Y111" s="7">
        <v>11</v>
      </c>
      <c r="Z111" s="9">
        <f t="shared" si="25"/>
        <v>2.9506437768240345E-3</v>
      </c>
    </row>
    <row r="112" spans="1:26" x14ac:dyDescent="0.2">
      <c r="A112" s="3">
        <v>176</v>
      </c>
      <c r="B112" s="3" t="s">
        <v>114</v>
      </c>
      <c r="C112" s="3">
        <v>108</v>
      </c>
      <c r="D112" s="3">
        <v>5577</v>
      </c>
      <c r="E112" s="4">
        <f t="shared" si="14"/>
        <v>2003.3539537385693</v>
      </c>
      <c r="F112" s="9">
        <f t="shared" si="15"/>
        <v>0.3592171335374878</v>
      </c>
      <c r="G112" s="7">
        <v>1067</v>
      </c>
      <c r="H112" s="11">
        <f t="shared" si="16"/>
        <v>0.19132149901380671</v>
      </c>
      <c r="I112" s="7">
        <v>497</v>
      </c>
      <c r="J112" s="11">
        <f t="shared" si="17"/>
        <v>8.9116012192935273E-2</v>
      </c>
      <c r="K112" s="7">
        <v>171</v>
      </c>
      <c r="L112" s="11">
        <f t="shared" si="18"/>
        <v>3.0661646046261429E-2</v>
      </c>
      <c r="M112" s="7">
        <v>68</v>
      </c>
      <c r="N112" s="11">
        <f t="shared" si="19"/>
        <v>1.2192935269858346E-2</v>
      </c>
      <c r="O112" s="7">
        <v>0</v>
      </c>
      <c r="P112" s="11">
        <f t="shared" si="20"/>
        <v>0</v>
      </c>
      <c r="Q112" s="8">
        <f t="shared" si="13"/>
        <v>239</v>
      </c>
      <c r="R112" s="12">
        <f t="shared" si="21"/>
        <v>4.2854581316119779E-2</v>
      </c>
      <c r="S112" s="7">
        <v>127</v>
      </c>
      <c r="T112" s="11">
        <f t="shared" si="22"/>
        <v>2.2772099695176618E-2</v>
      </c>
      <c r="U112" s="7">
        <v>40</v>
      </c>
      <c r="V112" s="11">
        <f t="shared" si="23"/>
        <v>7.1723148646225567E-3</v>
      </c>
      <c r="W112" s="7">
        <v>4</v>
      </c>
      <c r="X112" s="11">
        <f t="shared" si="24"/>
        <v>7.1723148646225571E-4</v>
      </c>
      <c r="Y112" s="7">
        <v>29</v>
      </c>
      <c r="Z112" s="9">
        <f t="shared" si="25"/>
        <v>5.1999282768513538E-3</v>
      </c>
    </row>
    <row r="113" spans="1:26" x14ac:dyDescent="0.2">
      <c r="A113" s="3">
        <v>177</v>
      </c>
      <c r="B113" s="3" t="s">
        <v>115</v>
      </c>
      <c r="C113" s="3">
        <v>110</v>
      </c>
      <c r="D113" s="3">
        <v>12180</v>
      </c>
      <c r="E113" s="4">
        <f t="shared" si="14"/>
        <v>5411.4412151067318</v>
      </c>
      <c r="F113" s="9">
        <f t="shared" si="15"/>
        <v>0.44428909812042133</v>
      </c>
      <c r="G113" s="7">
        <v>2490</v>
      </c>
      <c r="H113" s="11">
        <f t="shared" si="16"/>
        <v>0.20443349753694581</v>
      </c>
      <c r="I113" s="7">
        <v>1356</v>
      </c>
      <c r="J113" s="11">
        <f t="shared" si="17"/>
        <v>0.11133004926108374</v>
      </c>
      <c r="K113" s="7">
        <v>678</v>
      </c>
      <c r="L113" s="11">
        <f t="shared" si="18"/>
        <v>5.5665024630541869E-2</v>
      </c>
      <c r="M113" s="7">
        <v>314</v>
      </c>
      <c r="N113" s="11">
        <f t="shared" si="19"/>
        <v>2.5779967159277505E-2</v>
      </c>
      <c r="O113" s="7"/>
      <c r="P113" s="11">
        <f t="shared" si="20"/>
        <v>0</v>
      </c>
      <c r="Q113" s="8">
        <f t="shared" si="13"/>
        <v>992</v>
      </c>
      <c r="R113" s="12">
        <f t="shared" si="21"/>
        <v>8.1444991789819371E-2</v>
      </c>
      <c r="S113" s="7">
        <v>388</v>
      </c>
      <c r="T113" s="11">
        <f t="shared" si="22"/>
        <v>3.1855500821018061E-2</v>
      </c>
      <c r="U113" s="7">
        <v>147</v>
      </c>
      <c r="V113" s="11">
        <f t="shared" si="23"/>
        <v>1.2068965517241379E-2</v>
      </c>
      <c r="W113" s="7">
        <v>1</v>
      </c>
      <c r="X113" s="11">
        <f t="shared" si="24"/>
        <v>8.2101806239737277E-5</v>
      </c>
      <c r="Y113" s="7">
        <v>37</v>
      </c>
      <c r="Z113" s="9">
        <f t="shared" si="25"/>
        <v>3.0377668308702792E-3</v>
      </c>
    </row>
    <row r="114" spans="1:26" x14ac:dyDescent="0.2">
      <c r="A114" s="3">
        <v>178</v>
      </c>
      <c r="B114" s="3" t="s">
        <v>116</v>
      </c>
      <c r="C114" s="3">
        <v>113</v>
      </c>
      <c r="D114" s="3">
        <v>4409</v>
      </c>
      <c r="E114" s="4">
        <f t="shared" si="14"/>
        <v>1692.3808119755047</v>
      </c>
      <c r="F114" s="9">
        <f t="shared" si="15"/>
        <v>0.38384686141426733</v>
      </c>
      <c r="G114" s="7">
        <v>770</v>
      </c>
      <c r="H114" s="11">
        <f t="shared" si="16"/>
        <v>0.17464277613971421</v>
      </c>
      <c r="I114" s="7">
        <v>338</v>
      </c>
      <c r="J114" s="11">
        <f t="shared" si="17"/>
        <v>7.6661374461329104E-2</v>
      </c>
      <c r="K114" s="7">
        <v>240</v>
      </c>
      <c r="L114" s="11">
        <f t="shared" si="18"/>
        <v>5.4434112043547291E-2</v>
      </c>
      <c r="M114" s="7">
        <v>125</v>
      </c>
      <c r="N114" s="11">
        <f t="shared" si="19"/>
        <v>2.8351100022680879E-2</v>
      </c>
      <c r="O114" s="7">
        <v>0</v>
      </c>
      <c r="P114" s="11">
        <f t="shared" si="20"/>
        <v>0</v>
      </c>
      <c r="Q114" s="8">
        <f t="shared" si="13"/>
        <v>365</v>
      </c>
      <c r="R114" s="12">
        <f t="shared" si="21"/>
        <v>8.2785212066228173E-2</v>
      </c>
      <c r="S114" s="7">
        <v>156</v>
      </c>
      <c r="T114" s="11">
        <f t="shared" si="22"/>
        <v>3.538217282830574E-2</v>
      </c>
      <c r="U114" s="7">
        <v>49</v>
      </c>
      <c r="V114" s="11">
        <f t="shared" si="23"/>
        <v>1.1113631208890905E-2</v>
      </c>
      <c r="W114" s="7">
        <v>1</v>
      </c>
      <c r="X114" s="11">
        <f t="shared" si="24"/>
        <v>2.2680880018144704E-4</v>
      </c>
      <c r="Y114" s="7">
        <v>13</v>
      </c>
      <c r="Z114" s="9">
        <f t="shared" si="25"/>
        <v>2.9485144023588114E-3</v>
      </c>
    </row>
    <row r="115" spans="1:26" x14ac:dyDescent="0.2">
      <c r="A115" s="3">
        <v>180</v>
      </c>
      <c r="B115" s="3" t="s">
        <v>117</v>
      </c>
      <c r="C115" s="3">
        <v>106</v>
      </c>
      <c r="D115" s="3">
        <v>3370</v>
      </c>
      <c r="E115" s="4">
        <f t="shared" si="14"/>
        <v>1637.4703264094956</v>
      </c>
      <c r="F115" s="9">
        <f t="shared" si="15"/>
        <v>0.48589623929065151</v>
      </c>
      <c r="G115" s="7">
        <v>571</v>
      </c>
      <c r="H115" s="11">
        <f t="shared" si="16"/>
        <v>0.16943620178041544</v>
      </c>
      <c r="I115" s="7">
        <v>547</v>
      </c>
      <c r="J115" s="11">
        <f t="shared" si="17"/>
        <v>0.16231454005934717</v>
      </c>
      <c r="K115" s="7">
        <v>201</v>
      </c>
      <c r="L115" s="11">
        <f t="shared" si="18"/>
        <v>5.964391691394659E-2</v>
      </c>
      <c r="M115" s="7">
        <v>75</v>
      </c>
      <c r="N115" s="11">
        <f t="shared" si="19"/>
        <v>2.2255192878338281E-2</v>
      </c>
      <c r="O115" s="7"/>
      <c r="P115" s="11">
        <f t="shared" si="20"/>
        <v>0</v>
      </c>
      <c r="Q115" s="8">
        <f t="shared" si="13"/>
        <v>276</v>
      </c>
      <c r="R115" s="12">
        <f t="shared" si="21"/>
        <v>8.189910979228486E-2</v>
      </c>
      <c r="S115" s="7">
        <v>125</v>
      </c>
      <c r="T115" s="11">
        <f t="shared" si="22"/>
        <v>3.7091988130563795E-2</v>
      </c>
      <c r="U115" s="7">
        <v>63</v>
      </c>
      <c r="V115" s="11">
        <f t="shared" si="23"/>
        <v>1.8694362017804153E-2</v>
      </c>
      <c r="W115" s="7">
        <v>3</v>
      </c>
      <c r="X115" s="11">
        <f t="shared" si="24"/>
        <v>8.9020771513353112E-4</v>
      </c>
      <c r="Y115" s="7">
        <v>52</v>
      </c>
      <c r="Z115" s="9">
        <f t="shared" si="25"/>
        <v>1.543026706231454E-2</v>
      </c>
    </row>
    <row r="116" spans="1:26" x14ac:dyDescent="0.2">
      <c r="A116" s="3">
        <v>181</v>
      </c>
      <c r="B116" s="3" t="s">
        <v>118</v>
      </c>
      <c r="C116" s="3">
        <v>130</v>
      </c>
      <c r="D116" s="3">
        <v>1996</v>
      </c>
      <c r="E116" s="4">
        <f t="shared" si="14"/>
        <v>783.37725450901803</v>
      </c>
      <c r="F116" s="9">
        <f t="shared" si="15"/>
        <v>0.39247357440331565</v>
      </c>
      <c r="G116" s="7">
        <v>381</v>
      </c>
      <c r="H116" s="11">
        <f t="shared" si="16"/>
        <v>0.1908817635270541</v>
      </c>
      <c r="I116" s="7">
        <v>196</v>
      </c>
      <c r="J116" s="11">
        <f t="shared" si="17"/>
        <v>9.8196392785571143E-2</v>
      </c>
      <c r="K116" s="7">
        <v>80</v>
      </c>
      <c r="L116" s="11">
        <f t="shared" si="18"/>
        <v>4.0080160320641281E-2</v>
      </c>
      <c r="M116" s="7">
        <v>27</v>
      </c>
      <c r="N116" s="11">
        <f t="shared" si="19"/>
        <v>1.3527054108216433E-2</v>
      </c>
      <c r="O116" s="7">
        <v>0</v>
      </c>
      <c r="P116" s="11">
        <f t="shared" si="20"/>
        <v>0</v>
      </c>
      <c r="Q116" s="8">
        <f t="shared" si="13"/>
        <v>107</v>
      </c>
      <c r="R116" s="12">
        <f t="shared" si="21"/>
        <v>5.3607214428857713E-2</v>
      </c>
      <c r="S116" s="7">
        <v>55</v>
      </c>
      <c r="T116" s="11">
        <f t="shared" si="22"/>
        <v>2.7555110220440882E-2</v>
      </c>
      <c r="U116" s="7">
        <v>14</v>
      </c>
      <c r="V116" s="11">
        <f t="shared" si="23"/>
        <v>7.0140280561122245E-3</v>
      </c>
      <c r="W116" s="7">
        <v>0</v>
      </c>
      <c r="X116" s="11">
        <f t="shared" si="24"/>
        <v>0</v>
      </c>
      <c r="Y116" s="7">
        <v>30</v>
      </c>
      <c r="Z116" s="9">
        <f t="shared" si="25"/>
        <v>1.503006012024048E-2</v>
      </c>
    </row>
    <row r="117" spans="1:26" x14ac:dyDescent="0.2">
      <c r="A117" s="3">
        <v>182</v>
      </c>
      <c r="B117" s="3" t="s">
        <v>119</v>
      </c>
      <c r="C117" s="3">
        <v>127</v>
      </c>
      <c r="D117" s="3">
        <v>1009</v>
      </c>
      <c r="E117" s="4">
        <f t="shared" si="14"/>
        <v>428.41427155599604</v>
      </c>
      <c r="F117" s="9">
        <f t="shared" si="15"/>
        <v>0.42459293513973839</v>
      </c>
      <c r="G117" s="7">
        <v>180</v>
      </c>
      <c r="H117" s="11">
        <f t="shared" si="16"/>
        <v>0.17839444995044598</v>
      </c>
      <c r="I117" s="7">
        <v>165</v>
      </c>
      <c r="J117" s="11">
        <f t="shared" si="17"/>
        <v>0.16352824578790881</v>
      </c>
      <c r="K117" s="7">
        <v>33</v>
      </c>
      <c r="L117" s="11">
        <f t="shared" si="18"/>
        <v>3.2705649157581763E-2</v>
      </c>
      <c r="M117" s="7"/>
      <c r="N117" s="11">
        <f t="shared" si="19"/>
        <v>0</v>
      </c>
      <c r="O117" s="7"/>
      <c r="P117" s="11">
        <f t="shared" si="20"/>
        <v>0</v>
      </c>
      <c r="Q117" s="8">
        <f t="shared" si="13"/>
        <v>33</v>
      </c>
      <c r="R117" s="12">
        <f t="shared" si="21"/>
        <v>3.2705649157581763E-2</v>
      </c>
      <c r="S117" s="7">
        <v>26</v>
      </c>
      <c r="T117" s="11">
        <f t="shared" si="22"/>
        <v>2.576808721506442E-2</v>
      </c>
      <c r="U117" s="7">
        <v>14</v>
      </c>
      <c r="V117" s="11">
        <f t="shared" si="23"/>
        <v>1.3875123885034688E-2</v>
      </c>
      <c r="W117" s="7">
        <v>0</v>
      </c>
      <c r="X117" s="11">
        <f t="shared" si="24"/>
        <v>0</v>
      </c>
      <c r="Y117" s="7">
        <v>10</v>
      </c>
      <c r="Z117" s="9">
        <f t="shared" si="25"/>
        <v>9.9108027750247768E-3</v>
      </c>
    </row>
    <row r="118" spans="1:26" x14ac:dyDescent="0.2">
      <c r="A118" s="3">
        <v>191</v>
      </c>
      <c r="B118" s="3" t="s">
        <v>120</v>
      </c>
      <c r="C118" s="3">
        <v>99</v>
      </c>
      <c r="D118" s="3">
        <v>29854</v>
      </c>
      <c r="E118" s="4">
        <f t="shared" si="14"/>
        <v>10079.334092583909</v>
      </c>
      <c r="F118" s="9">
        <f t="shared" si="15"/>
        <v>0.33762089142439572</v>
      </c>
      <c r="G118" s="7">
        <v>4845</v>
      </c>
      <c r="H118" s="11">
        <f t="shared" si="16"/>
        <v>0.16228981041066523</v>
      </c>
      <c r="I118" s="7">
        <v>2867</v>
      </c>
      <c r="J118" s="11">
        <f t="shared" si="17"/>
        <v>9.603403229048034E-2</v>
      </c>
      <c r="K118" s="7">
        <v>964</v>
      </c>
      <c r="L118" s="11">
        <f t="shared" si="18"/>
        <v>3.2290480337643195E-2</v>
      </c>
      <c r="M118" s="7">
        <v>461</v>
      </c>
      <c r="N118" s="11">
        <f t="shared" si="19"/>
        <v>1.5441816841964226E-2</v>
      </c>
      <c r="O118" s="7"/>
      <c r="P118" s="11">
        <f t="shared" si="20"/>
        <v>0</v>
      </c>
      <c r="Q118" s="8">
        <f t="shared" si="13"/>
        <v>1425</v>
      </c>
      <c r="R118" s="12">
        <f t="shared" si="21"/>
        <v>4.7732297179607426E-2</v>
      </c>
      <c r="S118" s="7">
        <v>634</v>
      </c>
      <c r="T118" s="11">
        <f t="shared" si="22"/>
        <v>2.1236685201313058E-2</v>
      </c>
      <c r="U118" s="7">
        <v>197</v>
      </c>
      <c r="V118" s="11">
        <f t="shared" si="23"/>
        <v>6.5987807329001141E-3</v>
      </c>
      <c r="W118" s="7">
        <v>6</v>
      </c>
      <c r="X118" s="11">
        <f t="shared" si="24"/>
        <v>2.0097809338782074E-4</v>
      </c>
      <c r="Y118" s="7">
        <v>105</v>
      </c>
      <c r="Z118" s="9">
        <f t="shared" si="25"/>
        <v>3.5171166342868629E-3</v>
      </c>
    </row>
    <row r="119" spans="1:26" x14ac:dyDescent="0.2">
      <c r="A119" s="3">
        <v>192</v>
      </c>
      <c r="B119" s="3" t="s">
        <v>121</v>
      </c>
      <c r="C119" s="3">
        <v>98</v>
      </c>
      <c r="D119" s="3">
        <v>8820</v>
      </c>
      <c r="E119" s="4">
        <f t="shared" si="14"/>
        <v>3034.3317460317458</v>
      </c>
      <c r="F119" s="9">
        <f t="shared" si="15"/>
        <v>0.3440285426339848</v>
      </c>
      <c r="G119" s="7">
        <v>1129</v>
      </c>
      <c r="H119" s="11">
        <f t="shared" si="16"/>
        <v>0.1280045351473923</v>
      </c>
      <c r="I119" s="7">
        <v>683</v>
      </c>
      <c r="J119" s="11">
        <f t="shared" si="17"/>
        <v>7.7437641723356015E-2</v>
      </c>
      <c r="K119" s="7">
        <v>460</v>
      </c>
      <c r="L119" s="11">
        <f t="shared" si="18"/>
        <v>5.2154195011337869E-2</v>
      </c>
      <c r="M119" s="7">
        <v>219</v>
      </c>
      <c r="N119" s="11">
        <f t="shared" si="19"/>
        <v>2.4829931972789116E-2</v>
      </c>
      <c r="O119" s="7"/>
      <c r="P119" s="11">
        <f t="shared" si="20"/>
        <v>0</v>
      </c>
      <c r="Q119" s="8">
        <f t="shared" si="13"/>
        <v>679</v>
      </c>
      <c r="R119" s="12">
        <f t="shared" si="21"/>
        <v>7.6984126984126988E-2</v>
      </c>
      <c r="S119" s="7">
        <v>344</v>
      </c>
      <c r="T119" s="11">
        <f t="shared" si="22"/>
        <v>3.9002267573696146E-2</v>
      </c>
      <c r="U119" s="7">
        <v>89</v>
      </c>
      <c r="V119" s="11">
        <f t="shared" si="23"/>
        <v>1.0090702947845805E-2</v>
      </c>
      <c r="W119" s="7">
        <v>2</v>
      </c>
      <c r="X119" s="11">
        <f t="shared" si="24"/>
        <v>2.2675736961451248E-4</v>
      </c>
      <c r="Y119" s="7">
        <v>108</v>
      </c>
      <c r="Z119" s="9">
        <f t="shared" si="25"/>
        <v>1.2244897959183673E-2</v>
      </c>
    </row>
    <row r="120" spans="1:26" x14ac:dyDescent="0.2">
      <c r="A120" s="3">
        <v>193</v>
      </c>
      <c r="B120" s="3" t="s">
        <v>122</v>
      </c>
      <c r="C120" s="3">
        <v>103</v>
      </c>
      <c r="D120" s="3">
        <v>8918</v>
      </c>
      <c r="E120" s="4">
        <f t="shared" si="14"/>
        <v>3006.3355012334605</v>
      </c>
      <c r="F120" s="9">
        <f t="shared" si="15"/>
        <v>0.33710871285416688</v>
      </c>
      <c r="G120" s="7">
        <v>1539</v>
      </c>
      <c r="H120" s="11">
        <f t="shared" si="16"/>
        <v>0.17257232563355013</v>
      </c>
      <c r="I120" s="7">
        <v>724</v>
      </c>
      <c r="J120" s="11">
        <f t="shared" si="17"/>
        <v>8.1184122000448528E-2</v>
      </c>
      <c r="K120" s="7">
        <v>316</v>
      </c>
      <c r="L120" s="11">
        <f t="shared" si="18"/>
        <v>3.5433953801300738E-2</v>
      </c>
      <c r="M120" s="7">
        <v>134</v>
      </c>
      <c r="N120" s="11">
        <f t="shared" si="19"/>
        <v>1.5025790535994617E-2</v>
      </c>
      <c r="O120" s="7">
        <v>0</v>
      </c>
      <c r="P120" s="11">
        <f t="shared" si="20"/>
        <v>0</v>
      </c>
      <c r="Q120" s="8">
        <f t="shared" si="13"/>
        <v>450</v>
      </c>
      <c r="R120" s="12">
        <f t="shared" si="21"/>
        <v>5.0459744337295359E-2</v>
      </c>
      <c r="S120" s="7">
        <v>245</v>
      </c>
      <c r="T120" s="11">
        <f t="shared" si="22"/>
        <v>2.7472527472527472E-2</v>
      </c>
      <c r="U120" s="7">
        <v>31</v>
      </c>
      <c r="V120" s="11">
        <f t="shared" si="23"/>
        <v>3.4761157210136803E-3</v>
      </c>
      <c r="W120" s="7">
        <v>3</v>
      </c>
      <c r="X120" s="11">
        <f t="shared" si="24"/>
        <v>3.3639829558196907E-4</v>
      </c>
      <c r="Y120" s="7">
        <v>14</v>
      </c>
      <c r="Z120" s="9">
        <f t="shared" si="25"/>
        <v>1.5698587127158557E-3</v>
      </c>
    </row>
    <row r="121" spans="1:26" x14ac:dyDescent="0.2">
      <c r="A121" s="3">
        <v>194</v>
      </c>
      <c r="B121" s="3" t="s">
        <v>123</v>
      </c>
      <c r="C121" s="3">
        <v>94</v>
      </c>
      <c r="D121" s="3">
        <v>5302</v>
      </c>
      <c r="E121" s="4">
        <f t="shared" si="14"/>
        <v>1628.305356469257</v>
      </c>
      <c r="F121" s="9">
        <f t="shared" si="15"/>
        <v>0.30711153460378293</v>
      </c>
      <c r="G121" s="7">
        <v>800</v>
      </c>
      <c r="H121" s="11">
        <f t="shared" si="16"/>
        <v>0.15088645794039984</v>
      </c>
      <c r="I121" s="7">
        <v>385</v>
      </c>
      <c r="J121" s="11">
        <f t="shared" si="17"/>
        <v>7.2614107883817433E-2</v>
      </c>
      <c r="K121" s="7">
        <v>210</v>
      </c>
      <c r="L121" s="11">
        <f t="shared" si="18"/>
        <v>3.9607695209354962E-2</v>
      </c>
      <c r="M121" s="7">
        <v>67</v>
      </c>
      <c r="N121" s="11">
        <f t="shared" si="19"/>
        <v>1.2636740852508488E-2</v>
      </c>
      <c r="O121" s="7"/>
      <c r="P121" s="11">
        <f t="shared" si="20"/>
        <v>0</v>
      </c>
      <c r="Q121" s="8">
        <f t="shared" si="13"/>
        <v>277</v>
      </c>
      <c r="R121" s="12">
        <f t="shared" si="21"/>
        <v>5.224443606186345E-2</v>
      </c>
      <c r="S121" s="7">
        <v>132</v>
      </c>
      <c r="T121" s="11">
        <f t="shared" si="22"/>
        <v>2.4896265560165973E-2</v>
      </c>
      <c r="U121" s="7">
        <v>24</v>
      </c>
      <c r="V121" s="11">
        <f t="shared" si="23"/>
        <v>4.5265937382119956E-3</v>
      </c>
      <c r="W121" s="7">
        <v>1</v>
      </c>
      <c r="X121" s="11">
        <f t="shared" si="24"/>
        <v>1.8860807242549981E-4</v>
      </c>
      <c r="Y121" s="7">
        <v>9</v>
      </c>
      <c r="Z121" s="9">
        <f t="shared" si="25"/>
        <v>1.6974726518294984E-3</v>
      </c>
    </row>
    <row r="122" spans="1:26" x14ac:dyDescent="0.2">
      <c r="A122" s="3">
        <v>195</v>
      </c>
      <c r="B122" s="3" t="s">
        <v>124</v>
      </c>
      <c r="C122" s="3">
        <v>87</v>
      </c>
      <c r="D122" s="3">
        <v>10778</v>
      </c>
      <c r="E122" s="4">
        <f t="shared" si="14"/>
        <v>3638.3362404898871</v>
      </c>
      <c r="F122" s="9">
        <f t="shared" si="15"/>
        <v>0.33757062910464719</v>
      </c>
      <c r="G122" s="7">
        <v>1849</v>
      </c>
      <c r="H122" s="11">
        <f t="shared" si="16"/>
        <v>0.17155316385229172</v>
      </c>
      <c r="I122" s="7">
        <v>851</v>
      </c>
      <c r="J122" s="11">
        <f t="shared" si="17"/>
        <v>7.8957134904434956E-2</v>
      </c>
      <c r="K122" s="7">
        <v>397</v>
      </c>
      <c r="L122" s="11">
        <f t="shared" si="18"/>
        <v>3.683429207645203E-2</v>
      </c>
      <c r="M122" s="7">
        <v>146</v>
      </c>
      <c r="N122" s="11">
        <f t="shared" si="19"/>
        <v>1.3546112451289664E-2</v>
      </c>
      <c r="O122" s="7"/>
      <c r="P122" s="11">
        <f t="shared" si="20"/>
        <v>0</v>
      </c>
      <c r="Q122" s="8">
        <f t="shared" si="13"/>
        <v>543</v>
      </c>
      <c r="R122" s="12">
        <f t="shared" si="21"/>
        <v>5.0380404527741694E-2</v>
      </c>
      <c r="S122" s="7">
        <v>324</v>
      </c>
      <c r="T122" s="11">
        <f t="shared" si="22"/>
        <v>3.0061235850807201E-2</v>
      </c>
      <c r="U122" s="7">
        <v>56</v>
      </c>
      <c r="V122" s="11">
        <f t="shared" si="23"/>
        <v>5.1957691593987757E-3</v>
      </c>
      <c r="W122" s="7">
        <v>1</v>
      </c>
      <c r="X122" s="11">
        <f t="shared" si="24"/>
        <v>9.2781592132120983E-5</v>
      </c>
      <c r="Y122" s="7">
        <v>14</v>
      </c>
      <c r="Z122" s="9">
        <f t="shared" si="25"/>
        <v>1.2989422898496939E-3</v>
      </c>
    </row>
    <row r="123" spans="1:26" x14ac:dyDescent="0.2">
      <c r="A123" s="3">
        <v>196</v>
      </c>
      <c r="B123" s="3" t="s">
        <v>125</v>
      </c>
      <c r="C123" s="3">
        <v>111</v>
      </c>
      <c r="D123" s="3">
        <v>4078</v>
      </c>
      <c r="E123" s="4">
        <f t="shared" si="14"/>
        <v>1556.3673369298676</v>
      </c>
      <c r="F123" s="9">
        <f t="shared" si="15"/>
        <v>0.38164966575033538</v>
      </c>
      <c r="G123" s="7">
        <v>784</v>
      </c>
      <c r="H123" s="11">
        <f t="shared" si="16"/>
        <v>0.19225110348209906</v>
      </c>
      <c r="I123" s="7">
        <v>322</v>
      </c>
      <c r="J123" s="11">
        <f t="shared" si="17"/>
        <v>7.8960274644433545E-2</v>
      </c>
      <c r="K123" s="7">
        <v>171</v>
      </c>
      <c r="L123" s="11">
        <f t="shared" si="18"/>
        <v>4.1932319764590484E-2</v>
      </c>
      <c r="M123" s="7">
        <v>80</v>
      </c>
      <c r="N123" s="11">
        <f t="shared" si="19"/>
        <v>1.96174595389897E-2</v>
      </c>
      <c r="O123" s="7"/>
      <c r="P123" s="11">
        <f t="shared" si="20"/>
        <v>0</v>
      </c>
      <c r="Q123" s="8">
        <f t="shared" si="13"/>
        <v>251</v>
      </c>
      <c r="R123" s="12">
        <f t="shared" si="21"/>
        <v>6.1549779303580188E-2</v>
      </c>
      <c r="S123" s="7">
        <v>107</v>
      </c>
      <c r="T123" s="11">
        <f t="shared" si="22"/>
        <v>2.6238352133398726E-2</v>
      </c>
      <c r="U123" s="7">
        <v>34</v>
      </c>
      <c r="V123" s="11">
        <f t="shared" si="23"/>
        <v>8.3374203040706227E-3</v>
      </c>
      <c r="W123" s="7"/>
      <c r="X123" s="11">
        <f t="shared" si="24"/>
        <v>0</v>
      </c>
      <c r="Y123" s="7">
        <v>58</v>
      </c>
      <c r="Z123" s="9">
        <f t="shared" si="25"/>
        <v>1.4222658165767533E-2</v>
      </c>
    </row>
    <row r="124" spans="1:26" x14ac:dyDescent="0.2">
      <c r="A124" s="3">
        <v>197</v>
      </c>
      <c r="B124" s="3" t="s">
        <v>126</v>
      </c>
      <c r="C124" s="3">
        <v>99</v>
      </c>
      <c r="D124" s="5">
        <v>5183</v>
      </c>
      <c r="E124" s="4">
        <f t="shared" si="14"/>
        <v>1683.3220142774455</v>
      </c>
      <c r="F124" s="9">
        <f t="shared" si="15"/>
        <v>0.32477754471878167</v>
      </c>
      <c r="G124" s="7">
        <v>868</v>
      </c>
      <c r="H124" s="11">
        <f t="shared" si="16"/>
        <v>0.16747057688597339</v>
      </c>
      <c r="I124" s="7">
        <v>454</v>
      </c>
      <c r="J124" s="11">
        <f t="shared" si="17"/>
        <v>8.7594057495658878E-2</v>
      </c>
      <c r="K124" s="7">
        <v>160</v>
      </c>
      <c r="L124" s="11">
        <f t="shared" si="18"/>
        <v>3.087015242137758E-2</v>
      </c>
      <c r="M124" s="7">
        <v>68</v>
      </c>
      <c r="N124" s="11">
        <f t="shared" si="19"/>
        <v>1.3119814779085472E-2</v>
      </c>
      <c r="O124" s="7"/>
      <c r="P124" s="11">
        <f t="shared" si="20"/>
        <v>0</v>
      </c>
      <c r="Q124" s="8">
        <f t="shared" si="13"/>
        <v>228</v>
      </c>
      <c r="R124" s="12">
        <f t="shared" si="21"/>
        <v>4.3989967200463054E-2</v>
      </c>
      <c r="S124" s="7">
        <v>109</v>
      </c>
      <c r="T124" s="11">
        <f t="shared" si="22"/>
        <v>2.1030291337063477E-2</v>
      </c>
      <c r="U124" s="7">
        <v>8</v>
      </c>
      <c r="V124" s="11">
        <f t="shared" si="23"/>
        <v>1.543507621068879E-3</v>
      </c>
      <c r="W124" s="7">
        <v>2</v>
      </c>
      <c r="X124" s="11">
        <f t="shared" si="24"/>
        <v>3.8587690526721975E-4</v>
      </c>
      <c r="Y124" s="7">
        <v>14</v>
      </c>
      <c r="Z124" s="9">
        <f t="shared" si="25"/>
        <v>2.7011383368705385E-3</v>
      </c>
    </row>
    <row r="125" spans="1:26" x14ac:dyDescent="0.2">
      <c r="A125" s="3">
        <v>198</v>
      </c>
      <c r="B125" s="3" t="s">
        <v>127</v>
      </c>
      <c r="C125" s="3">
        <v>109</v>
      </c>
      <c r="D125" s="3">
        <v>35295</v>
      </c>
      <c r="E125" s="4">
        <f t="shared" si="14"/>
        <v>13605.37611559711</v>
      </c>
      <c r="F125" s="9">
        <f t="shared" si="15"/>
        <v>0.38547601970809209</v>
      </c>
      <c r="G125" s="7">
        <v>6489</v>
      </c>
      <c r="H125" s="11">
        <f t="shared" si="16"/>
        <v>0.18385040373990649</v>
      </c>
      <c r="I125" s="7">
        <v>3217</v>
      </c>
      <c r="J125" s="11">
        <f t="shared" si="17"/>
        <v>9.1146054681966279E-2</v>
      </c>
      <c r="K125" s="7">
        <v>1524</v>
      </c>
      <c r="L125" s="11">
        <f t="shared" si="18"/>
        <v>4.3178920526986825E-2</v>
      </c>
      <c r="M125" s="7">
        <v>721</v>
      </c>
      <c r="N125" s="11">
        <f t="shared" si="19"/>
        <v>2.0427822637767389E-2</v>
      </c>
      <c r="O125" s="7"/>
      <c r="P125" s="11">
        <f t="shared" si="20"/>
        <v>0</v>
      </c>
      <c r="Q125" s="8">
        <f t="shared" si="13"/>
        <v>2245</v>
      </c>
      <c r="R125" s="12">
        <f t="shared" si="21"/>
        <v>6.3606743164754218E-2</v>
      </c>
      <c r="S125" s="7">
        <v>1043</v>
      </c>
      <c r="T125" s="11">
        <f t="shared" si="22"/>
        <v>2.9550927893469331E-2</v>
      </c>
      <c r="U125" s="7">
        <v>274</v>
      </c>
      <c r="V125" s="11">
        <f t="shared" si="23"/>
        <v>7.7631392548519621E-3</v>
      </c>
      <c r="W125" s="7">
        <v>7</v>
      </c>
      <c r="X125" s="11">
        <f t="shared" si="24"/>
        <v>1.9832837512395523E-4</v>
      </c>
      <c r="Y125" s="7">
        <v>330</v>
      </c>
      <c r="Z125" s="9">
        <f t="shared" si="25"/>
        <v>9.3497662558436039E-3</v>
      </c>
    </row>
    <row r="126" spans="1:26" x14ac:dyDescent="0.2">
      <c r="A126" s="3">
        <v>199</v>
      </c>
      <c r="B126" s="3" t="s">
        <v>128</v>
      </c>
      <c r="C126" s="3">
        <v>103</v>
      </c>
      <c r="D126" s="3">
        <v>18851</v>
      </c>
      <c r="E126" s="4">
        <f t="shared" si="14"/>
        <v>7973.4175375311652</v>
      </c>
      <c r="F126" s="9">
        <f t="shared" si="15"/>
        <v>0.42297053405820195</v>
      </c>
      <c r="G126" s="7">
        <v>3595</v>
      </c>
      <c r="H126" s="11">
        <f t="shared" si="16"/>
        <v>0.19070606333881493</v>
      </c>
      <c r="I126" s="7">
        <v>1972</v>
      </c>
      <c r="J126" s="11">
        <f t="shared" si="17"/>
        <v>0.10460983502201475</v>
      </c>
      <c r="K126" s="7">
        <v>979</v>
      </c>
      <c r="L126" s="11">
        <f t="shared" si="18"/>
        <v>5.1933584425229433E-2</v>
      </c>
      <c r="M126" s="7">
        <v>394</v>
      </c>
      <c r="N126" s="11">
        <f t="shared" si="19"/>
        <v>2.0900747970929924E-2</v>
      </c>
      <c r="O126" s="7"/>
      <c r="P126" s="11">
        <f t="shared" si="20"/>
        <v>0</v>
      </c>
      <c r="Q126" s="8">
        <f t="shared" si="13"/>
        <v>1373</v>
      </c>
      <c r="R126" s="12">
        <f t="shared" si="21"/>
        <v>7.2834332396159357E-2</v>
      </c>
      <c r="S126" s="7">
        <v>673</v>
      </c>
      <c r="T126" s="11">
        <f t="shared" si="22"/>
        <v>3.5701023818365075E-2</v>
      </c>
      <c r="U126" s="7">
        <v>253</v>
      </c>
      <c r="V126" s="11">
        <f t="shared" si="23"/>
        <v>1.3421038671688505E-2</v>
      </c>
      <c r="W126" s="7">
        <v>5</v>
      </c>
      <c r="X126" s="11">
        <f t="shared" si="24"/>
        <v>2.6523791841281632E-4</v>
      </c>
      <c r="Y126" s="7">
        <v>102</v>
      </c>
      <c r="Z126" s="9">
        <f t="shared" si="25"/>
        <v>5.4108535356214528E-3</v>
      </c>
    </row>
    <row r="127" spans="1:26" x14ac:dyDescent="0.2">
      <c r="A127" s="3">
        <v>200</v>
      </c>
      <c r="B127" s="3" t="s">
        <v>129</v>
      </c>
      <c r="C127" s="3">
        <v>98</v>
      </c>
      <c r="D127" s="3">
        <v>7990</v>
      </c>
      <c r="E127" s="4">
        <f t="shared" si="14"/>
        <v>2639.3302878598251</v>
      </c>
      <c r="F127" s="9">
        <f t="shared" si="15"/>
        <v>0.33032919747932732</v>
      </c>
      <c r="G127" s="7">
        <v>920</v>
      </c>
      <c r="H127" s="11">
        <f t="shared" si="16"/>
        <v>0.11514392991239049</v>
      </c>
      <c r="I127" s="7">
        <v>1049</v>
      </c>
      <c r="J127" s="11">
        <f t="shared" si="17"/>
        <v>0.13128911138923655</v>
      </c>
      <c r="K127" s="7">
        <v>179</v>
      </c>
      <c r="L127" s="11">
        <f t="shared" si="18"/>
        <v>2.2403003754693368E-2</v>
      </c>
      <c r="M127" s="7">
        <v>80</v>
      </c>
      <c r="N127" s="11">
        <f t="shared" si="19"/>
        <v>1.0012515644555695E-2</v>
      </c>
      <c r="O127" s="7">
        <v>259</v>
      </c>
      <c r="P127" s="11">
        <f t="shared" si="20"/>
        <v>3.2415519399249061E-2</v>
      </c>
      <c r="Q127" s="8">
        <f t="shared" si="13"/>
        <v>518</v>
      </c>
      <c r="R127" s="12">
        <f t="shared" si="21"/>
        <v>6.4831038798498122E-2</v>
      </c>
      <c r="S127" s="7">
        <v>140</v>
      </c>
      <c r="T127" s="11">
        <f t="shared" si="22"/>
        <v>1.7521902377972465E-2</v>
      </c>
      <c r="U127" s="7">
        <v>10</v>
      </c>
      <c r="V127" s="11">
        <f t="shared" si="23"/>
        <v>1.2515644555694619E-3</v>
      </c>
      <c r="W127" s="7">
        <v>2</v>
      </c>
      <c r="X127" s="11">
        <f t="shared" si="24"/>
        <v>2.5031289111389235E-4</v>
      </c>
      <c r="Y127" s="7"/>
      <c r="Z127" s="9">
        <f t="shared" si="25"/>
        <v>0</v>
      </c>
    </row>
    <row r="128" spans="1:26" x14ac:dyDescent="0.2">
      <c r="A128" s="3">
        <v>211</v>
      </c>
      <c r="B128" s="3" t="s">
        <v>130</v>
      </c>
      <c r="C128" s="3">
        <v>114</v>
      </c>
      <c r="D128" s="3">
        <v>702</v>
      </c>
      <c r="E128" s="4">
        <f t="shared" si="14"/>
        <v>202.28774928774928</v>
      </c>
      <c r="F128" s="9">
        <f t="shared" si="15"/>
        <v>0.28815918701958587</v>
      </c>
      <c r="G128" s="7">
        <v>139</v>
      </c>
      <c r="H128" s="11">
        <f t="shared" si="16"/>
        <v>0.19800569800569801</v>
      </c>
      <c r="I128" s="7"/>
      <c r="J128" s="11">
        <f t="shared" si="17"/>
        <v>0</v>
      </c>
      <c r="K128" s="7">
        <v>26</v>
      </c>
      <c r="L128" s="11">
        <f t="shared" si="18"/>
        <v>3.7037037037037035E-2</v>
      </c>
      <c r="M128" s="7">
        <v>6</v>
      </c>
      <c r="N128" s="11">
        <f t="shared" si="19"/>
        <v>8.5470085470085479E-3</v>
      </c>
      <c r="O128" s="7"/>
      <c r="P128" s="11">
        <f t="shared" si="20"/>
        <v>0</v>
      </c>
      <c r="Q128" s="8">
        <f t="shared" si="13"/>
        <v>32</v>
      </c>
      <c r="R128" s="12">
        <f t="shared" si="21"/>
        <v>4.5584045584045586E-2</v>
      </c>
      <c r="S128" s="7">
        <v>20</v>
      </c>
      <c r="T128" s="11">
        <f t="shared" si="22"/>
        <v>2.8490028490028491E-2</v>
      </c>
      <c r="U128" s="7">
        <v>11</v>
      </c>
      <c r="V128" s="11">
        <f t="shared" si="23"/>
        <v>1.5669515669515671E-2</v>
      </c>
      <c r="W128" s="7"/>
      <c r="X128" s="11">
        <f t="shared" si="24"/>
        <v>0</v>
      </c>
      <c r="Y128" s="7"/>
      <c r="Z128" s="9">
        <f t="shared" si="25"/>
        <v>0</v>
      </c>
    </row>
    <row r="129" spans="1:26" x14ac:dyDescent="0.2">
      <c r="A129" s="3">
        <v>213</v>
      </c>
      <c r="B129" s="3" t="s">
        <v>131</v>
      </c>
      <c r="C129" s="3">
        <v>89</v>
      </c>
      <c r="D129" s="3">
        <v>2063</v>
      </c>
      <c r="E129" s="4">
        <f t="shared" si="14"/>
        <v>639.30683470673773</v>
      </c>
      <c r="F129" s="9">
        <f t="shared" si="15"/>
        <v>0.30989182486996497</v>
      </c>
      <c r="G129" s="7">
        <v>292</v>
      </c>
      <c r="H129" s="11">
        <f t="shared" si="16"/>
        <v>0.14154144449830344</v>
      </c>
      <c r="I129" s="7">
        <v>200</v>
      </c>
      <c r="J129" s="11">
        <f t="shared" si="17"/>
        <v>9.6946194861851673E-2</v>
      </c>
      <c r="K129" s="7">
        <v>67</v>
      </c>
      <c r="L129" s="11">
        <f t="shared" si="18"/>
        <v>3.2476975278720309E-2</v>
      </c>
      <c r="M129" s="7">
        <v>17</v>
      </c>
      <c r="N129" s="11">
        <f t="shared" si="19"/>
        <v>8.2404265632573925E-3</v>
      </c>
      <c r="O129" s="7">
        <v>0</v>
      </c>
      <c r="P129" s="11">
        <f t="shared" si="20"/>
        <v>0</v>
      </c>
      <c r="Q129" s="8">
        <f t="shared" si="13"/>
        <v>84</v>
      </c>
      <c r="R129" s="12">
        <f t="shared" si="21"/>
        <v>4.0717401841977703E-2</v>
      </c>
      <c r="S129" s="7">
        <v>51</v>
      </c>
      <c r="T129" s="11">
        <f t="shared" si="22"/>
        <v>2.4721279689772176E-2</v>
      </c>
      <c r="U129" s="7">
        <v>5</v>
      </c>
      <c r="V129" s="11">
        <f t="shared" si="23"/>
        <v>2.4236548715462916E-3</v>
      </c>
      <c r="W129" s="7">
        <v>1</v>
      </c>
      <c r="X129" s="11">
        <f t="shared" si="24"/>
        <v>4.8473097430925838E-4</v>
      </c>
      <c r="Y129" s="7">
        <v>6</v>
      </c>
      <c r="Z129" s="9">
        <f t="shared" si="25"/>
        <v>2.90838584585555E-3</v>
      </c>
    </row>
    <row r="130" spans="1:26" x14ac:dyDescent="0.2">
      <c r="A130" s="3">
        <v>214</v>
      </c>
      <c r="B130" s="3" t="s">
        <v>132</v>
      </c>
      <c r="C130" s="3">
        <v>119</v>
      </c>
      <c r="D130" s="3">
        <v>1038</v>
      </c>
      <c r="E130" s="4">
        <f t="shared" si="14"/>
        <v>282.27167630057801</v>
      </c>
      <c r="F130" s="9">
        <f t="shared" si="15"/>
        <v>0.27193803111809056</v>
      </c>
      <c r="G130" s="7">
        <v>158</v>
      </c>
      <c r="H130" s="11">
        <f t="shared" si="16"/>
        <v>0.15221579961464354</v>
      </c>
      <c r="I130" s="7">
        <v>58</v>
      </c>
      <c r="J130" s="11">
        <f t="shared" si="17"/>
        <v>5.5876685934489405E-2</v>
      </c>
      <c r="K130" s="7">
        <v>34</v>
      </c>
      <c r="L130" s="11">
        <f t="shared" si="18"/>
        <v>3.2755298651252408E-2</v>
      </c>
      <c r="M130" s="7">
        <v>6</v>
      </c>
      <c r="N130" s="11">
        <f t="shared" si="19"/>
        <v>5.7803468208092483E-3</v>
      </c>
      <c r="O130" s="7"/>
      <c r="P130" s="11">
        <f t="shared" si="20"/>
        <v>0</v>
      </c>
      <c r="Q130" s="8">
        <f t="shared" ref="Q130:Q163" si="26">O130+M130+K130</f>
        <v>40</v>
      </c>
      <c r="R130" s="12">
        <f t="shared" si="21"/>
        <v>3.8535645472061654E-2</v>
      </c>
      <c r="S130" s="7">
        <v>24</v>
      </c>
      <c r="T130" s="11">
        <f t="shared" si="22"/>
        <v>2.3121387283236993E-2</v>
      </c>
      <c r="U130" s="7">
        <v>2</v>
      </c>
      <c r="V130" s="11">
        <f t="shared" si="23"/>
        <v>1.9267822736030828E-3</v>
      </c>
      <c r="W130" s="7"/>
      <c r="X130" s="11">
        <f t="shared" si="24"/>
        <v>0</v>
      </c>
      <c r="Y130" s="7"/>
      <c r="Z130" s="9">
        <f t="shared" si="25"/>
        <v>0</v>
      </c>
    </row>
    <row r="131" spans="1:26" x14ac:dyDescent="0.2">
      <c r="A131" s="3">
        <v>215</v>
      </c>
      <c r="B131" s="3" t="s">
        <v>133</v>
      </c>
      <c r="C131" s="3">
        <v>114</v>
      </c>
      <c r="D131" s="3">
        <v>799</v>
      </c>
      <c r="E131" s="4">
        <f t="shared" ref="E131:E163" si="27">SUM(Q131:Y131,G131:J131)</f>
        <v>389.47684605757195</v>
      </c>
      <c r="F131" s="9">
        <f t="shared" ref="F131:F163" si="28">E131/D131</f>
        <v>0.48745537679295614</v>
      </c>
      <c r="G131" s="7">
        <v>115</v>
      </c>
      <c r="H131" s="11">
        <f t="shared" ref="H131:H163" si="29">G131/D131</f>
        <v>0.14392991239048811</v>
      </c>
      <c r="I131" s="7">
        <v>175</v>
      </c>
      <c r="J131" s="11">
        <f t="shared" ref="J131:J163" si="30">I131/D131</f>
        <v>0.21902377972465581</v>
      </c>
      <c r="K131" s="7">
        <v>40</v>
      </c>
      <c r="L131" s="11">
        <f t="shared" ref="L131:L163" si="31">K131/D131</f>
        <v>5.0062578222778473E-2</v>
      </c>
      <c r="M131" s="7">
        <v>18</v>
      </c>
      <c r="N131" s="11">
        <f t="shared" ref="N131:N163" si="32">M131/D131</f>
        <v>2.2528160200250311E-2</v>
      </c>
      <c r="O131" s="7">
        <v>0</v>
      </c>
      <c r="P131" s="11">
        <f t="shared" ref="P131:P163" si="33">O131/D131</f>
        <v>0</v>
      </c>
      <c r="Q131" s="8">
        <f t="shared" si="26"/>
        <v>58</v>
      </c>
      <c r="R131" s="12">
        <f t="shared" ref="R131:R163" si="34">Q131/D131</f>
        <v>7.2590738423028781E-2</v>
      </c>
      <c r="S131" s="7">
        <v>29</v>
      </c>
      <c r="T131" s="11">
        <f t="shared" ref="T131:T163" si="35">S131/D131</f>
        <v>3.629536921151439E-2</v>
      </c>
      <c r="U131" s="7">
        <v>4</v>
      </c>
      <c r="V131" s="11">
        <f t="shared" ref="V131:V163" si="36">U131/D131</f>
        <v>5.0062578222778474E-3</v>
      </c>
      <c r="W131" s="7"/>
      <c r="X131" s="11">
        <f t="shared" ref="X131:X163" si="37">W131/D131</f>
        <v>0</v>
      </c>
      <c r="Y131" s="7">
        <v>8</v>
      </c>
      <c r="Z131" s="9">
        <f t="shared" ref="Z131:Z163" si="38">Y131/D131</f>
        <v>1.0012515644555695E-2</v>
      </c>
    </row>
    <row r="132" spans="1:26" x14ac:dyDescent="0.2">
      <c r="A132" s="3">
        <v>216</v>
      </c>
      <c r="B132" s="3" t="s">
        <v>134</v>
      </c>
      <c r="C132" s="3">
        <v>89</v>
      </c>
      <c r="D132" s="3">
        <v>1740</v>
      </c>
      <c r="E132" s="4">
        <f t="shared" si="27"/>
        <v>723.40344827586205</v>
      </c>
      <c r="F132" s="9">
        <f t="shared" si="28"/>
        <v>0.41574910820451844</v>
      </c>
      <c r="G132" s="7">
        <v>293</v>
      </c>
      <c r="H132" s="11">
        <f t="shared" si="29"/>
        <v>0.16839080459770114</v>
      </c>
      <c r="I132" s="7">
        <v>233</v>
      </c>
      <c r="J132" s="11">
        <f t="shared" si="30"/>
        <v>0.1339080459770115</v>
      </c>
      <c r="K132" s="7">
        <v>80</v>
      </c>
      <c r="L132" s="11">
        <f t="shared" si="31"/>
        <v>4.5977011494252873E-2</v>
      </c>
      <c r="M132" s="7">
        <v>34</v>
      </c>
      <c r="N132" s="11">
        <f t="shared" si="32"/>
        <v>1.9540229885057471E-2</v>
      </c>
      <c r="O132" s="7">
        <v>0</v>
      </c>
      <c r="P132" s="11">
        <f t="shared" si="33"/>
        <v>0</v>
      </c>
      <c r="Q132" s="8">
        <f t="shared" si="26"/>
        <v>114</v>
      </c>
      <c r="R132" s="12">
        <f t="shared" si="34"/>
        <v>6.5517241379310351E-2</v>
      </c>
      <c r="S132" s="7">
        <v>56</v>
      </c>
      <c r="T132" s="11">
        <f t="shared" si="35"/>
        <v>3.2183908045977011E-2</v>
      </c>
      <c r="U132" s="7">
        <v>5</v>
      </c>
      <c r="V132" s="11">
        <f t="shared" si="36"/>
        <v>2.8735632183908046E-3</v>
      </c>
      <c r="W132" s="7">
        <v>1</v>
      </c>
      <c r="X132" s="11">
        <f t="shared" si="37"/>
        <v>5.7471264367816091E-4</v>
      </c>
      <c r="Y132" s="7">
        <v>21</v>
      </c>
      <c r="Z132" s="9">
        <f t="shared" si="38"/>
        <v>1.2068965517241379E-2</v>
      </c>
    </row>
    <row r="133" spans="1:26" x14ac:dyDescent="0.2">
      <c r="A133" s="3">
        <v>218</v>
      </c>
      <c r="B133" s="3" t="s">
        <v>135</v>
      </c>
      <c r="C133" s="3">
        <v>119</v>
      </c>
      <c r="D133" s="3">
        <v>935</v>
      </c>
      <c r="E133" s="4">
        <f t="shared" si="27"/>
        <v>431.45668449197859</v>
      </c>
      <c r="F133" s="9">
        <f t="shared" si="28"/>
        <v>0.46145099945666157</v>
      </c>
      <c r="G133" s="7">
        <v>204</v>
      </c>
      <c r="H133" s="11">
        <f t="shared" si="29"/>
        <v>0.21818181818181817</v>
      </c>
      <c r="I133" s="7">
        <v>159</v>
      </c>
      <c r="J133" s="11">
        <f t="shared" si="30"/>
        <v>0.17005347593582887</v>
      </c>
      <c r="K133" s="7">
        <v>30</v>
      </c>
      <c r="L133" s="11">
        <f t="shared" si="31"/>
        <v>3.2085561497326207E-2</v>
      </c>
      <c r="M133" s="7">
        <v>6</v>
      </c>
      <c r="N133" s="11">
        <f t="shared" si="32"/>
        <v>6.4171122994652408E-3</v>
      </c>
      <c r="O133" s="7"/>
      <c r="P133" s="11">
        <f t="shared" si="33"/>
        <v>0</v>
      </c>
      <c r="Q133" s="8">
        <f t="shared" si="26"/>
        <v>36</v>
      </c>
      <c r="R133" s="12">
        <f t="shared" si="34"/>
        <v>3.8502673796791446E-2</v>
      </c>
      <c r="S133" s="7">
        <v>25</v>
      </c>
      <c r="T133" s="11">
        <f t="shared" si="35"/>
        <v>2.6737967914438502E-2</v>
      </c>
      <c r="U133" s="7">
        <v>3</v>
      </c>
      <c r="V133" s="11">
        <f t="shared" si="36"/>
        <v>3.2085561497326204E-3</v>
      </c>
      <c r="W133" s="7"/>
      <c r="X133" s="11">
        <f t="shared" si="37"/>
        <v>0</v>
      </c>
      <c r="Y133" s="7">
        <v>4</v>
      </c>
      <c r="Z133" s="9">
        <f t="shared" si="38"/>
        <v>4.2780748663101605E-3</v>
      </c>
    </row>
    <row r="134" spans="1:26" x14ac:dyDescent="0.2">
      <c r="A134" s="3">
        <v>219</v>
      </c>
      <c r="B134" s="3" t="s">
        <v>136</v>
      </c>
      <c r="C134" s="3">
        <v>118</v>
      </c>
      <c r="D134" s="3">
        <v>3654</v>
      </c>
      <c r="E134" s="4">
        <f t="shared" si="27"/>
        <v>1189.3160919540228</v>
      </c>
      <c r="F134" s="9">
        <f t="shared" si="28"/>
        <v>0.32548333113136912</v>
      </c>
      <c r="G134" s="7">
        <v>465</v>
      </c>
      <c r="H134" s="11">
        <f t="shared" si="29"/>
        <v>0.12725779967159279</v>
      </c>
      <c r="I134" s="7">
        <v>431</v>
      </c>
      <c r="J134" s="11">
        <f t="shared" si="30"/>
        <v>0.11795292829775589</v>
      </c>
      <c r="K134" s="7">
        <v>121</v>
      </c>
      <c r="L134" s="11">
        <f t="shared" si="31"/>
        <v>3.3114395183360699E-2</v>
      </c>
      <c r="M134" s="7">
        <v>48</v>
      </c>
      <c r="N134" s="11">
        <f t="shared" si="32"/>
        <v>1.3136288998357963E-2</v>
      </c>
      <c r="O134" s="7">
        <v>0</v>
      </c>
      <c r="P134" s="11">
        <f t="shared" si="33"/>
        <v>0</v>
      </c>
      <c r="Q134" s="8">
        <f t="shared" si="26"/>
        <v>169</v>
      </c>
      <c r="R134" s="12">
        <f t="shared" si="34"/>
        <v>4.6250684181718661E-2</v>
      </c>
      <c r="S134" s="7">
        <v>65</v>
      </c>
      <c r="T134" s="11">
        <f t="shared" si="35"/>
        <v>1.7788724685276411E-2</v>
      </c>
      <c r="U134" s="7">
        <v>24</v>
      </c>
      <c r="V134" s="11">
        <f t="shared" si="36"/>
        <v>6.5681444991789817E-3</v>
      </c>
      <c r="W134" s="7">
        <v>1</v>
      </c>
      <c r="X134" s="11">
        <f t="shared" si="37"/>
        <v>2.7367268746579092E-4</v>
      </c>
      <c r="Y134" s="7">
        <v>34</v>
      </c>
      <c r="Z134" s="9">
        <f t="shared" si="38"/>
        <v>9.3048713738368913E-3</v>
      </c>
    </row>
    <row r="135" spans="1:26" x14ac:dyDescent="0.2">
      <c r="A135" s="3">
        <v>220</v>
      </c>
      <c r="B135" s="3" t="s">
        <v>137</v>
      </c>
      <c r="C135" s="3">
        <v>114</v>
      </c>
      <c r="D135" s="3">
        <v>1095</v>
      </c>
      <c r="E135" s="4">
        <f t="shared" si="27"/>
        <v>502.45844748858445</v>
      </c>
      <c r="F135" s="9">
        <f t="shared" si="28"/>
        <v>0.45886616209003145</v>
      </c>
      <c r="G135" s="7">
        <v>193</v>
      </c>
      <c r="H135" s="11">
        <f t="shared" si="29"/>
        <v>0.17625570776255708</v>
      </c>
      <c r="I135" s="7">
        <v>251</v>
      </c>
      <c r="J135" s="11">
        <f t="shared" si="30"/>
        <v>0.22922374429223744</v>
      </c>
      <c r="K135" s="7">
        <v>29</v>
      </c>
      <c r="L135" s="11">
        <f t="shared" si="31"/>
        <v>2.6484018264840183E-2</v>
      </c>
      <c r="M135" s="7">
        <v>6</v>
      </c>
      <c r="N135" s="11">
        <f t="shared" si="32"/>
        <v>5.4794520547945206E-3</v>
      </c>
      <c r="O135" s="7"/>
      <c r="P135" s="11">
        <f t="shared" si="33"/>
        <v>0</v>
      </c>
      <c r="Q135" s="8">
        <f t="shared" si="26"/>
        <v>35</v>
      </c>
      <c r="R135" s="12">
        <f t="shared" si="34"/>
        <v>3.1963470319634701E-2</v>
      </c>
      <c r="S135" s="7">
        <v>21</v>
      </c>
      <c r="T135" s="11">
        <f t="shared" si="35"/>
        <v>1.9178082191780823E-2</v>
      </c>
      <c r="U135" s="7">
        <v>2</v>
      </c>
      <c r="V135" s="11">
        <f t="shared" si="36"/>
        <v>1.8264840182648401E-3</v>
      </c>
      <c r="W135" s="7"/>
      <c r="X135" s="11">
        <f t="shared" si="37"/>
        <v>0</v>
      </c>
      <c r="Y135" s="7"/>
      <c r="Z135" s="9">
        <f t="shared" si="38"/>
        <v>0</v>
      </c>
    </row>
    <row r="136" spans="1:26" x14ac:dyDescent="0.2">
      <c r="A136" s="3">
        <v>221</v>
      </c>
      <c r="B136" s="3" t="s">
        <v>138</v>
      </c>
      <c r="C136" s="3">
        <v>98</v>
      </c>
      <c r="D136" s="3">
        <v>3099</v>
      </c>
      <c r="E136" s="4">
        <f t="shared" si="27"/>
        <v>1134.346563407551</v>
      </c>
      <c r="F136" s="9">
        <f t="shared" si="28"/>
        <v>0.36603632249356277</v>
      </c>
      <c r="G136" s="7">
        <v>460</v>
      </c>
      <c r="H136" s="11">
        <f t="shared" si="29"/>
        <v>0.1484349790254921</v>
      </c>
      <c r="I136" s="7">
        <v>446</v>
      </c>
      <c r="J136" s="11">
        <f t="shared" si="30"/>
        <v>0.14391739270732495</v>
      </c>
      <c r="K136" s="7">
        <v>75</v>
      </c>
      <c r="L136" s="11">
        <f t="shared" si="31"/>
        <v>2.420135527589545E-2</v>
      </c>
      <c r="M136" s="7">
        <v>15</v>
      </c>
      <c r="N136" s="11">
        <f t="shared" si="32"/>
        <v>4.8402710551790898E-3</v>
      </c>
      <c r="O136" s="7">
        <v>0</v>
      </c>
      <c r="P136" s="11">
        <f t="shared" si="33"/>
        <v>0</v>
      </c>
      <c r="Q136" s="8">
        <f t="shared" si="26"/>
        <v>90</v>
      </c>
      <c r="R136" s="12">
        <f t="shared" si="34"/>
        <v>2.904162633107454E-2</v>
      </c>
      <c r="S136" s="7">
        <v>73</v>
      </c>
      <c r="T136" s="11">
        <f t="shared" si="35"/>
        <v>2.3555985801871571E-2</v>
      </c>
      <c r="U136" s="7">
        <v>5</v>
      </c>
      <c r="V136" s="11">
        <f t="shared" si="36"/>
        <v>1.6134236850596966E-3</v>
      </c>
      <c r="W136" s="7">
        <v>0</v>
      </c>
      <c r="X136" s="11">
        <f t="shared" si="37"/>
        <v>0</v>
      </c>
      <c r="Y136" s="7">
        <v>60</v>
      </c>
      <c r="Z136" s="9">
        <f t="shared" si="38"/>
        <v>1.9361084220716359E-2</v>
      </c>
    </row>
    <row r="137" spans="1:26" x14ac:dyDescent="0.2">
      <c r="A137" s="3">
        <v>223</v>
      </c>
      <c r="B137" s="3" t="s">
        <v>139</v>
      </c>
      <c r="C137" s="3">
        <v>107</v>
      </c>
      <c r="D137" s="3">
        <v>5753</v>
      </c>
      <c r="E137" s="4">
        <f t="shared" si="27"/>
        <v>2067.3415609247349</v>
      </c>
      <c r="F137" s="9">
        <f t="shared" si="28"/>
        <v>0.35935017572131672</v>
      </c>
      <c r="G137" s="7">
        <v>774</v>
      </c>
      <c r="H137" s="11">
        <f t="shared" si="29"/>
        <v>0.13453850165131237</v>
      </c>
      <c r="I137" s="7">
        <v>534</v>
      </c>
      <c r="J137" s="11">
        <f t="shared" si="30"/>
        <v>9.2821136798192247E-2</v>
      </c>
      <c r="K137" s="7">
        <v>279</v>
      </c>
      <c r="L137" s="11">
        <f t="shared" si="31"/>
        <v>4.8496436641752128E-2</v>
      </c>
      <c r="M137" s="7">
        <v>110</v>
      </c>
      <c r="N137" s="11">
        <f t="shared" si="32"/>
        <v>1.9120458891013385E-2</v>
      </c>
      <c r="O137" s="7"/>
      <c r="P137" s="11">
        <f t="shared" si="33"/>
        <v>0</v>
      </c>
      <c r="Q137" s="8">
        <f t="shared" si="26"/>
        <v>389</v>
      </c>
      <c r="R137" s="12">
        <f t="shared" si="34"/>
        <v>6.7616895532765509E-2</v>
      </c>
      <c r="S137" s="7">
        <v>192</v>
      </c>
      <c r="T137" s="11">
        <f t="shared" si="35"/>
        <v>3.3373891882496086E-2</v>
      </c>
      <c r="U137" s="7">
        <v>73</v>
      </c>
      <c r="V137" s="11">
        <f t="shared" si="36"/>
        <v>1.26890318094907E-2</v>
      </c>
      <c r="W137" s="7">
        <v>3</v>
      </c>
      <c r="X137" s="11">
        <f t="shared" si="37"/>
        <v>5.2146706066400134E-4</v>
      </c>
      <c r="Y137" s="7">
        <v>102</v>
      </c>
      <c r="Z137" s="9">
        <f t="shared" si="38"/>
        <v>1.7729880062576048E-2</v>
      </c>
    </row>
    <row r="138" spans="1:26" x14ac:dyDescent="0.2">
      <c r="A138" s="3">
        <v>224</v>
      </c>
      <c r="B138" s="3" t="s">
        <v>140</v>
      </c>
      <c r="C138" s="3">
        <v>117</v>
      </c>
      <c r="D138" s="3">
        <v>3945</v>
      </c>
      <c r="E138" s="4">
        <f t="shared" si="27"/>
        <v>1034.2522179974651</v>
      </c>
      <c r="F138" s="9">
        <f t="shared" si="28"/>
        <v>0.26216786261025732</v>
      </c>
      <c r="G138" s="7">
        <v>556</v>
      </c>
      <c r="H138" s="11">
        <f t="shared" si="29"/>
        <v>0.14093789607097593</v>
      </c>
      <c r="I138" s="7">
        <v>0</v>
      </c>
      <c r="J138" s="11">
        <f t="shared" si="30"/>
        <v>0</v>
      </c>
      <c r="K138" s="7">
        <v>205</v>
      </c>
      <c r="L138" s="11">
        <f t="shared" si="31"/>
        <v>5.1964512040557666E-2</v>
      </c>
      <c r="M138" s="7">
        <v>50</v>
      </c>
      <c r="N138" s="11">
        <f t="shared" si="32"/>
        <v>1.2674271229404309E-2</v>
      </c>
      <c r="O138" s="7"/>
      <c r="P138" s="11">
        <f t="shared" si="33"/>
        <v>0</v>
      </c>
      <c r="Q138" s="8">
        <f t="shared" si="26"/>
        <v>255</v>
      </c>
      <c r="R138" s="12">
        <f t="shared" si="34"/>
        <v>6.4638783269961975E-2</v>
      </c>
      <c r="S138" s="7">
        <v>152</v>
      </c>
      <c r="T138" s="11">
        <f t="shared" si="35"/>
        <v>3.8529784537389103E-2</v>
      </c>
      <c r="U138" s="7">
        <v>31</v>
      </c>
      <c r="V138" s="11">
        <f t="shared" si="36"/>
        <v>7.858048162230671E-3</v>
      </c>
      <c r="W138" s="7">
        <v>1</v>
      </c>
      <c r="X138" s="11">
        <f t="shared" si="37"/>
        <v>2.5348542458808617E-4</v>
      </c>
      <c r="Y138" s="7">
        <v>39</v>
      </c>
      <c r="Z138" s="9">
        <f t="shared" si="38"/>
        <v>9.8859315589353604E-3</v>
      </c>
    </row>
    <row r="139" spans="1:26" x14ac:dyDescent="0.2">
      <c r="A139" s="3">
        <v>225</v>
      </c>
      <c r="B139" s="3" t="s">
        <v>141</v>
      </c>
      <c r="C139" s="3">
        <v>106</v>
      </c>
      <c r="D139" s="3">
        <v>2799</v>
      </c>
      <c r="E139" s="4">
        <f t="shared" si="27"/>
        <v>884.29510539478383</v>
      </c>
      <c r="F139" s="9">
        <f t="shared" si="28"/>
        <v>0.31593251353868662</v>
      </c>
      <c r="G139" s="7">
        <v>467</v>
      </c>
      <c r="H139" s="11">
        <f t="shared" si="29"/>
        <v>0.16684530189353342</v>
      </c>
      <c r="I139" s="7">
        <v>183</v>
      </c>
      <c r="J139" s="11">
        <f t="shared" si="30"/>
        <v>6.5380493033226156E-2</v>
      </c>
      <c r="K139" s="7">
        <v>90</v>
      </c>
      <c r="L139" s="11">
        <f t="shared" si="31"/>
        <v>3.215434083601286E-2</v>
      </c>
      <c r="M139" s="7">
        <v>20</v>
      </c>
      <c r="N139" s="11">
        <f t="shared" si="32"/>
        <v>7.145409074669525E-3</v>
      </c>
      <c r="O139" s="7">
        <v>0</v>
      </c>
      <c r="P139" s="11">
        <f t="shared" si="33"/>
        <v>0</v>
      </c>
      <c r="Q139" s="8">
        <f t="shared" si="26"/>
        <v>110</v>
      </c>
      <c r="R139" s="12">
        <f t="shared" si="34"/>
        <v>3.9299749910682386E-2</v>
      </c>
      <c r="S139" s="7">
        <v>62</v>
      </c>
      <c r="T139" s="11">
        <f t="shared" si="35"/>
        <v>2.2150768131475526E-2</v>
      </c>
      <c r="U139" s="7">
        <v>4</v>
      </c>
      <c r="V139" s="11">
        <f t="shared" si="36"/>
        <v>1.4290818149339049E-3</v>
      </c>
      <c r="W139" s="7"/>
      <c r="X139" s="11">
        <f t="shared" si="37"/>
        <v>0</v>
      </c>
      <c r="Y139" s="7">
        <v>58</v>
      </c>
      <c r="Z139" s="9">
        <f t="shared" si="38"/>
        <v>2.0721686316541622E-2</v>
      </c>
    </row>
    <row r="140" spans="1:26" x14ac:dyDescent="0.2">
      <c r="A140" s="3">
        <v>226</v>
      </c>
      <c r="B140" s="3" t="s">
        <v>142</v>
      </c>
      <c r="C140" s="3">
        <v>125</v>
      </c>
      <c r="D140" s="3">
        <v>778</v>
      </c>
      <c r="E140" s="4">
        <f t="shared" si="27"/>
        <v>145.18637532133673</v>
      </c>
      <c r="F140" s="9">
        <f t="shared" si="28"/>
        <v>0.18661487830506007</v>
      </c>
      <c r="G140" s="7">
        <v>100</v>
      </c>
      <c r="H140" s="11">
        <f t="shared" si="29"/>
        <v>0.12853470437017994</v>
      </c>
      <c r="I140" s="7">
        <v>6</v>
      </c>
      <c r="J140" s="11">
        <f t="shared" si="30"/>
        <v>7.7120822622107968E-3</v>
      </c>
      <c r="K140" s="7">
        <v>21</v>
      </c>
      <c r="L140" s="11">
        <f t="shared" si="31"/>
        <v>2.6992287917737789E-2</v>
      </c>
      <c r="M140" s="7">
        <v>4</v>
      </c>
      <c r="N140" s="11">
        <f t="shared" si="32"/>
        <v>5.1413881748071976E-3</v>
      </c>
      <c r="O140" s="7"/>
      <c r="P140" s="11">
        <f t="shared" si="33"/>
        <v>0</v>
      </c>
      <c r="Q140" s="8">
        <f t="shared" si="26"/>
        <v>25</v>
      </c>
      <c r="R140" s="12">
        <f t="shared" si="34"/>
        <v>3.2133676092544985E-2</v>
      </c>
      <c r="S140" s="7">
        <v>7</v>
      </c>
      <c r="T140" s="11">
        <f t="shared" si="35"/>
        <v>8.9974293059125968E-3</v>
      </c>
      <c r="U140" s="7">
        <v>7</v>
      </c>
      <c r="V140" s="11">
        <f t="shared" si="36"/>
        <v>8.9974293059125968E-3</v>
      </c>
      <c r="W140" s="7">
        <v>0</v>
      </c>
      <c r="X140" s="11">
        <f t="shared" si="37"/>
        <v>0</v>
      </c>
      <c r="Y140" s="7">
        <v>0</v>
      </c>
      <c r="Z140" s="9">
        <f t="shared" si="38"/>
        <v>0</v>
      </c>
    </row>
    <row r="141" spans="1:26" x14ac:dyDescent="0.2">
      <c r="A141" s="3">
        <v>227</v>
      </c>
      <c r="B141" s="3" t="s">
        <v>143</v>
      </c>
      <c r="C141" s="3">
        <v>101</v>
      </c>
      <c r="D141" s="5">
        <v>7422</v>
      </c>
      <c r="E141" s="4">
        <f t="shared" si="27"/>
        <v>3099.4129614659118</v>
      </c>
      <c r="F141" s="9">
        <f t="shared" si="28"/>
        <v>0.41759808157719103</v>
      </c>
      <c r="G141" s="7">
        <v>1135</v>
      </c>
      <c r="H141" s="11">
        <f t="shared" si="29"/>
        <v>0.15292374023174346</v>
      </c>
      <c r="I141" s="7">
        <v>1115</v>
      </c>
      <c r="J141" s="11">
        <f t="shared" si="30"/>
        <v>0.15022904877391538</v>
      </c>
      <c r="K141" s="7">
        <v>386</v>
      </c>
      <c r="L141" s="11">
        <f t="shared" si="31"/>
        <v>5.2007545136081919E-2</v>
      </c>
      <c r="M141" s="7">
        <v>115</v>
      </c>
      <c r="N141" s="11">
        <f t="shared" si="32"/>
        <v>1.5494475882511452E-2</v>
      </c>
      <c r="O141" s="7"/>
      <c r="P141" s="11">
        <f t="shared" si="33"/>
        <v>0</v>
      </c>
      <c r="Q141" s="8">
        <f t="shared" si="26"/>
        <v>501</v>
      </c>
      <c r="R141" s="12">
        <f t="shared" si="34"/>
        <v>6.7502021018593372E-2</v>
      </c>
      <c r="S141" s="7">
        <v>256</v>
      </c>
      <c r="T141" s="11">
        <f t="shared" si="35"/>
        <v>3.4492050660199405E-2</v>
      </c>
      <c r="U141" s="7">
        <v>56</v>
      </c>
      <c r="V141" s="11">
        <f t="shared" si="36"/>
        <v>7.5451360819186204E-3</v>
      </c>
      <c r="W141" s="7">
        <v>2</v>
      </c>
      <c r="X141" s="11">
        <f t="shared" si="37"/>
        <v>2.6946914578280785E-4</v>
      </c>
      <c r="Y141" s="7">
        <v>34</v>
      </c>
      <c r="Z141" s="9">
        <f t="shared" si="38"/>
        <v>4.5809754783077338E-3</v>
      </c>
    </row>
    <row r="142" spans="1:26" x14ac:dyDescent="0.2">
      <c r="A142" s="3">
        <v>228</v>
      </c>
      <c r="B142" s="3" t="s">
        <v>144</v>
      </c>
      <c r="C142" s="3">
        <v>122</v>
      </c>
      <c r="D142" s="3">
        <v>4989</v>
      </c>
      <c r="E142" s="4">
        <f t="shared" si="27"/>
        <v>2150.4235317698935</v>
      </c>
      <c r="F142" s="9">
        <f t="shared" si="28"/>
        <v>0.43103297890757536</v>
      </c>
      <c r="G142" s="7">
        <v>1570</v>
      </c>
      <c r="H142" s="11">
        <f t="shared" si="29"/>
        <v>0.31469232311084383</v>
      </c>
      <c r="I142" s="7">
        <v>158</v>
      </c>
      <c r="J142" s="11">
        <f t="shared" si="30"/>
        <v>3.1669673281218683E-2</v>
      </c>
      <c r="K142" s="7">
        <v>110</v>
      </c>
      <c r="L142" s="11">
        <f t="shared" si="31"/>
        <v>2.2048506714772501E-2</v>
      </c>
      <c r="M142" s="7">
        <v>78</v>
      </c>
      <c r="N142" s="11">
        <f t="shared" si="32"/>
        <v>1.5634395670475046E-2</v>
      </c>
      <c r="O142" s="7"/>
      <c r="P142" s="11">
        <f t="shared" si="33"/>
        <v>0</v>
      </c>
      <c r="Q142" s="8">
        <f t="shared" si="26"/>
        <v>188</v>
      </c>
      <c r="R142" s="12">
        <f t="shared" si="34"/>
        <v>3.7682902385247546E-2</v>
      </c>
      <c r="S142" s="7">
        <v>146</v>
      </c>
      <c r="T142" s="11">
        <f t="shared" si="35"/>
        <v>2.9264381639607137E-2</v>
      </c>
      <c r="U142" s="7">
        <v>48</v>
      </c>
      <c r="V142" s="11">
        <f t="shared" si="36"/>
        <v>9.6211665664461821E-3</v>
      </c>
      <c r="W142" s="7">
        <v>3</v>
      </c>
      <c r="X142" s="11">
        <f t="shared" si="37"/>
        <v>6.0132291040288638E-4</v>
      </c>
      <c r="Y142" s="7">
        <v>37</v>
      </c>
      <c r="Z142" s="9">
        <f t="shared" si="38"/>
        <v>7.416315894968932E-3</v>
      </c>
    </row>
    <row r="143" spans="1:26" x14ac:dyDescent="0.2">
      <c r="A143" s="3">
        <v>230</v>
      </c>
      <c r="B143" s="3" t="s">
        <v>145</v>
      </c>
      <c r="C143" s="3">
        <v>122</v>
      </c>
      <c r="D143" s="3">
        <v>114087</v>
      </c>
      <c r="E143" s="4">
        <f t="shared" si="27"/>
        <v>38265.335393164867</v>
      </c>
      <c r="F143" s="9">
        <f t="shared" si="28"/>
        <v>0.33540486990774465</v>
      </c>
      <c r="G143" s="7">
        <v>19515</v>
      </c>
      <c r="H143" s="11">
        <f t="shared" si="29"/>
        <v>0.17105366956796128</v>
      </c>
      <c r="I143" s="7">
        <v>10404</v>
      </c>
      <c r="J143" s="11">
        <f t="shared" si="30"/>
        <v>9.1193562807331249E-2</v>
      </c>
      <c r="K143" s="7">
        <v>3800</v>
      </c>
      <c r="L143" s="11">
        <f t="shared" si="31"/>
        <v>3.3307914135703456E-2</v>
      </c>
      <c r="M143" s="7">
        <v>1565</v>
      </c>
      <c r="N143" s="11">
        <f t="shared" si="32"/>
        <v>1.3717601479572607E-2</v>
      </c>
      <c r="O143" s="7">
        <v>0</v>
      </c>
      <c r="P143" s="11">
        <f t="shared" si="33"/>
        <v>0</v>
      </c>
      <c r="Q143" s="8">
        <f t="shared" si="26"/>
        <v>5365</v>
      </c>
      <c r="R143" s="12">
        <f t="shared" si="34"/>
        <v>4.7025515615276063E-2</v>
      </c>
      <c r="S143" s="7">
        <v>2371</v>
      </c>
      <c r="T143" s="11">
        <f t="shared" si="35"/>
        <v>2.0782385372566551E-2</v>
      </c>
      <c r="U143" s="7">
        <v>580</v>
      </c>
      <c r="V143" s="11">
        <f t="shared" si="36"/>
        <v>5.0838395259757904E-3</v>
      </c>
      <c r="W143" s="7">
        <v>29</v>
      </c>
      <c r="X143" s="11">
        <f t="shared" si="37"/>
        <v>2.541919762987895E-4</v>
      </c>
      <c r="Y143" s="7">
        <v>1</v>
      </c>
      <c r="Z143" s="9">
        <f t="shared" si="38"/>
        <v>8.7652405620272244E-6</v>
      </c>
    </row>
    <row r="144" spans="1:26" x14ac:dyDescent="0.2">
      <c r="A144" s="3">
        <v>231</v>
      </c>
      <c r="B144" s="3" t="s">
        <v>146</v>
      </c>
      <c r="C144" s="3">
        <v>118</v>
      </c>
      <c r="D144" s="3">
        <v>6422</v>
      </c>
      <c r="E144" s="4">
        <f t="shared" si="27"/>
        <v>2822.4325755216441</v>
      </c>
      <c r="F144" s="9">
        <f t="shared" si="28"/>
        <v>0.43949432817216511</v>
      </c>
      <c r="G144" s="7">
        <v>1073</v>
      </c>
      <c r="H144" s="11">
        <f t="shared" si="29"/>
        <v>0.16708190594830272</v>
      </c>
      <c r="I144" s="7">
        <v>1021</v>
      </c>
      <c r="J144" s="11">
        <f t="shared" si="30"/>
        <v>0.15898473995639986</v>
      </c>
      <c r="K144" s="7">
        <v>178</v>
      </c>
      <c r="L144" s="11">
        <f t="shared" si="31"/>
        <v>2.7717222049205854E-2</v>
      </c>
      <c r="M144" s="7">
        <v>56</v>
      </c>
      <c r="N144" s="11">
        <f t="shared" si="32"/>
        <v>8.7200249143568973E-3</v>
      </c>
      <c r="O144" s="7">
        <v>234</v>
      </c>
      <c r="P144" s="11">
        <f t="shared" si="33"/>
        <v>3.643724696356275E-2</v>
      </c>
      <c r="Q144" s="8">
        <f t="shared" si="26"/>
        <v>468</v>
      </c>
      <c r="R144" s="12">
        <f t="shared" si="34"/>
        <v>7.28744939271255E-2</v>
      </c>
      <c r="S144" s="7">
        <v>174</v>
      </c>
      <c r="T144" s="11">
        <f t="shared" si="35"/>
        <v>2.7094363126751789E-2</v>
      </c>
      <c r="U144" s="7">
        <v>42</v>
      </c>
      <c r="V144" s="11">
        <f t="shared" si="36"/>
        <v>6.5400186857676734E-3</v>
      </c>
      <c r="W144" s="7">
        <v>0</v>
      </c>
      <c r="X144" s="11">
        <f t="shared" si="37"/>
        <v>0</v>
      </c>
      <c r="Y144" s="7">
        <v>44</v>
      </c>
      <c r="Z144" s="9">
        <f t="shared" si="38"/>
        <v>6.8514481469947059E-3</v>
      </c>
    </row>
    <row r="145" spans="1:26" x14ac:dyDescent="0.2">
      <c r="A145" s="3">
        <v>241</v>
      </c>
      <c r="B145" s="3" t="s">
        <v>147</v>
      </c>
      <c r="C145" s="3">
        <v>87</v>
      </c>
      <c r="D145" s="3">
        <v>1707</v>
      </c>
      <c r="E145" s="4">
        <f t="shared" si="27"/>
        <v>617.35266549502046</v>
      </c>
      <c r="F145" s="9">
        <f t="shared" si="28"/>
        <v>0.36165944082895163</v>
      </c>
      <c r="G145" s="7">
        <v>260</v>
      </c>
      <c r="H145" s="11">
        <f t="shared" si="29"/>
        <v>0.15231400117164617</v>
      </c>
      <c r="I145" s="7">
        <v>209</v>
      </c>
      <c r="J145" s="11">
        <f t="shared" si="30"/>
        <v>0.12243702401874634</v>
      </c>
      <c r="K145" s="7">
        <v>47</v>
      </c>
      <c r="L145" s="11">
        <f t="shared" si="31"/>
        <v>2.753368482718219E-2</v>
      </c>
      <c r="M145" s="7">
        <v>23</v>
      </c>
      <c r="N145" s="11">
        <f t="shared" si="32"/>
        <v>1.3473930872876391E-2</v>
      </c>
      <c r="O145" s="7"/>
      <c r="P145" s="11">
        <f t="shared" si="33"/>
        <v>0</v>
      </c>
      <c r="Q145" s="8">
        <f t="shared" si="26"/>
        <v>70</v>
      </c>
      <c r="R145" s="12">
        <f t="shared" si="34"/>
        <v>4.1007615700058585E-2</v>
      </c>
      <c r="S145" s="7">
        <v>48</v>
      </c>
      <c r="T145" s="11">
        <f t="shared" si="35"/>
        <v>2.8119507908611598E-2</v>
      </c>
      <c r="U145" s="7">
        <v>14</v>
      </c>
      <c r="V145" s="11">
        <f t="shared" si="36"/>
        <v>8.2015231400117163E-3</v>
      </c>
      <c r="W145" s="7">
        <v>1</v>
      </c>
      <c r="X145" s="11">
        <f t="shared" si="37"/>
        <v>5.8582308142940832E-4</v>
      </c>
      <c r="Y145" s="7">
        <v>15</v>
      </c>
      <c r="Z145" s="9">
        <f t="shared" si="38"/>
        <v>8.7873462214411256E-3</v>
      </c>
    </row>
    <row r="146" spans="1:26" x14ac:dyDescent="0.2">
      <c r="A146" s="3">
        <v>242</v>
      </c>
      <c r="B146" s="3" t="s">
        <v>148</v>
      </c>
      <c r="C146" s="3">
        <v>110</v>
      </c>
      <c r="D146" s="3">
        <v>6893</v>
      </c>
      <c r="E146" s="4">
        <f t="shared" si="27"/>
        <v>2870.3676193239517</v>
      </c>
      <c r="F146" s="9">
        <f t="shared" si="28"/>
        <v>0.4164177599483464</v>
      </c>
      <c r="G146" s="7">
        <v>1155</v>
      </c>
      <c r="H146" s="11">
        <f t="shared" si="29"/>
        <v>0.16756129406644421</v>
      </c>
      <c r="I146" s="7">
        <v>709</v>
      </c>
      <c r="J146" s="11">
        <f t="shared" si="30"/>
        <v>0.10285797185550559</v>
      </c>
      <c r="K146" s="7">
        <v>292</v>
      </c>
      <c r="L146" s="11">
        <f t="shared" si="31"/>
        <v>4.2361816335412736E-2</v>
      </c>
      <c r="M146" s="7">
        <v>142</v>
      </c>
      <c r="N146" s="11">
        <f t="shared" si="32"/>
        <v>2.0600609313796606E-2</v>
      </c>
      <c r="O146" s="7"/>
      <c r="P146" s="11">
        <f t="shared" si="33"/>
        <v>0</v>
      </c>
      <c r="Q146" s="8">
        <f t="shared" si="26"/>
        <v>434</v>
      </c>
      <c r="R146" s="12">
        <f t="shared" si="34"/>
        <v>6.2962425649209341E-2</v>
      </c>
      <c r="S146" s="7">
        <v>205</v>
      </c>
      <c r="T146" s="11">
        <f t="shared" si="35"/>
        <v>2.974031626287538E-2</v>
      </c>
      <c r="U146" s="7">
        <v>29</v>
      </c>
      <c r="V146" s="11">
        <f t="shared" si="36"/>
        <v>4.207166690845786E-3</v>
      </c>
      <c r="W146" s="7">
        <v>2</v>
      </c>
      <c r="X146" s="11">
        <f t="shared" si="37"/>
        <v>2.9014942695488178E-4</v>
      </c>
      <c r="Y146" s="7">
        <v>336</v>
      </c>
      <c r="Z146" s="9">
        <f t="shared" si="38"/>
        <v>4.8745103728420135E-2</v>
      </c>
    </row>
    <row r="147" spans="1:26" x14ac:dyDescent="0.2">
      <c r="A147" s="3">
        <v>243</v>
      </c>
      <c r="B147" s="3" t="s">
        <v>149</v>
      </c>
      <c r="C147" s="3">
        <v>123</v>
      </c>
      <c r="D147" s="3">
        <v>28028</v>
      </c>
      <c r="E147" s="4">
        <f t="shared" si="27"/>
        <v>10001.342800057088</v>
      </c>
      <c r="F147" s="9">
        <f t="shared" si="28"/>
        <v>0.35683398030744568</v>
      </c>
      <c r="G147" s="7">
        <v>6180</v>
      </c>
      <c r="H147" s="11">
        <f t="shared" si="29"/>
        <v>0.22049379192236335</v>
      </c>
      <c r="I147" s="7">
        <v>1610</v>
      </c>
      <c r="J147" s="11">
        <f t="shared" si="30"/>
        <v>5.744255744255744E-2</v>
      </c>
      <c r="K147" s="7">
        <v>747</v>
      </c>
      <c r="L147" s="11">
        <f t="shared" si="31"/>
        <v>2.6651919509062365E-2</v>
      </c>
      <c r="M147" s="7">
        <v>328</v>
      </c>
      <c r="N147" s="11">
        <f t="shared" si="32"/>
        <v>1.170258313115456E-2</v>
      </c>
      <c r="O147" s="7"/>
      <c r="P147" s="11">
        <f t="shared" si="33"/>
        <v>0</v>
      </c>
      <c r="Q147" s="8">
        <f t="shared" si="26"/>
        <v>1075</v>
      </c>
      <c r="R147" s="12">
        <f t="shared" si="34"/>
        <v>3.8354502640216927E-2</v>
      </c>
      <c r="S147" s="7">
        <v>630</v>
      </c>
      <c r="T147" s="11">
        <f t="shared" si="35"/>
        <v>2.2477522477522476E-2</v>
      </c>
      <c r="U147" s="7">
        <v>110</v>
      </c>
      <c r="V147" s="11">
        <f t="shared" si="36"/>
        <v>3.9246467817896386E-3</v>
      </c>
      <c r="W147" s="7">
        <v>3</v>
      </c>
      <c r="X147" s="11">
        <f t="shared" si="37"/>
        <v>1.0703582132153561E-4</v>
      </c>
      <c r="Y147" s="7">
        <v>393</v>
      </c>
      <c r="Z147" s="9">
        <f t="shared" si="38"/>
        <v>1.4021692593121164E-2</v>
      </c>
    </row>
    <row r="148" spans="1:26" x14ac:dyDescent="0.2">
      <c r="A148" s="3">
        <v>244</v>
      </c>
      <c r="B148" s="3" t="s">
        <v>150</v>
      </c>
      <c r="C148" s="3">
        <v>111</v>
      </c>
      <c r="D148" s="3">
        <v>5046</v>
      </c>
      <c r="E148" s="4">
        <f t="shared" si="27"/>
        <v>2009.3925881886641</v>
      </c>
      <c r="F148" s="9">
        <f t="shared" si="28"/>
        <v>0.39821494018800319</v>
      </c>
      <c r="G148" s="7">
        <v>783</v>
      </c>
      <c r="H148" s="11">
        <f t="shared" si="29"/>
        <v>0.15517241379310345</v>
      </c>
      <c r="I148" s="7">
        <v>587</v>
      </c>
      <c r="J148" s="11">
        <f t="shared" si="30"/>
        <v>0.11632976615140705</v>
      </c>
      <c r="K148" s="7">
        <v>278</v>
      </c>
      <c r="L148" s="11">
        <f t="shared" si="31"/>
        <v>5.50931430836306E-2</v>
      </c>
      <c r="M148" s="7">
        <v>116</v>
      </c>
      <c r="N148" s="11">
        <f t="shared" si="32"/>
        <v>2.2988505747126436E-2</v>
      </c>
      <c r="O148" s="7"/>
      <c r="P148" s="11">
        <f t="shared" si="33"/>
        <v>0</v>
      </c>
      <c r="Q148" s="8">
        <f t="shared" si="26"/>
        <v>394</v>
      </c>
      <c r="R148" s="12">
        <f t="shared" si="34"/>
        <v>7.8081648830757036E-2</v>
      </c>
      <c r="S148" s="7">
        <v>173</v>
      </c>
      <c r="T148" s="11">
        <f t="shared" si="35"/>
        <v>3.4284581847007528E-2</v>
      </c>
      <c r="U148" s="7">
        <v>43</v>
      </c>
      <c r="V148" s="11">
        <f t="shared" si="36"/>
        <v>8.5216012683313521E-3</v>
      </c>
      <c r="W148" s="7">
        <v>1</v>
      </c>
      <c r="X148" s="11">
        <f t="shared" si="37"/>
        <v>1.9817677368212446E-4</v>
      </c>
      <c r="Y148" s="7">
        <v>28</v>
      </c>
      <c r="Z148" s="9">
        <f t="shared" si="38"/>
        <v>5.5489496630994851E-3</v>
      </c>
    </row>
    <row r="149" spans="1:26" x14ac:dyDescent="0.2">
      <c r="A149" s="3">
        <v>245</v>
      </c>
      <c r="B149" s="3" t="s">
        <v>151</v>
      </c>
      <c r="C149" s="3">
        <v>112</v>
      </c>
      <c r="D149" s="3">
        <v>6724</v>
      </c>
      <c r="E149" s="4">
        <f t="shared" si="27"/>
        <v>2092.3033908387865</v>
      </c>
      <c r="F149" s="9">
        <f t="shared" si="28"/>
        <v>0.31116945134425739</v>
      </c>
      <c r="G149" s="7">
        <v>1074</v>
      </c>
      <c r="H149" s="11">
        <f t="shared" si="29"/>
        <v>0.15972635336109459</v>
      </c>
      <c r="I149" s="7">
        <v>475</v>
      </c>
      <c r="J149" s="11">
        <f t="shared" si="30"/>
        <v>7.0642474717430098E-2</v>
      </c>
      <c r="K149" s="7">
        <v>224</v>
      </c>
      <c r="L149" s="11">
        <f t="shared" si="31"/>
        <v>3.3313503866745982E-2</v>
      </c>
      <c r="M149" s="7">
        <v>96</v>
      </c>
      <c r="N149" s="11">
        <f t="shared" si="32"/>
        <v>1.4277215942891136E-2</v>
      </c>
      <c r="O149" s="7"/>
      <c r="P149" s="11">
        <f t="shared" si="33"/>
        <v>0</v>
      </c>
      <c r="Q149" s="8">
        <f t="shared" si="26"/>
        <v>320</v>
      </c>
      <c r="R149" s="12">
        <f t="shared" si="34"/>
        <v>4.7590719809637118E-2</v>
      </c>
      <c r="S149" s="7">
        <v>158</v>
      </c>
      <c r="T149" s="11">
        <f t="shared" si="35"/>
        <v>2.3497917906008327E-2</v>
      </c>
      <c r="U149" s="7">
        <v>12</v>
      </c>
      <c r="V149" s="11">
        <f t="shared" si="36"/>
        <v>1.784651992861392E-3</v>
      </c>
      <c r="W149" s="7">
        <v>1</v>
      </c>
      <c r="X149" s="11">
        <f t="shared" si="37"/>
        <v>1.4872099940511601E-4</v>
      </c>
      <c r="Y149" s="7">
        <v>52</v>
      </c>
      <c r="Z149" s="9">
        <f t="shared" si="38"/>
        <v>7.7334919690660317E-3</v>
      </c>
    </row>
    <row r="150" spans="1:26" x14ac:dyDescent="0.2">
      <c r="A150" s="3">
        <v>246</v>
      </c>
      <c r="B150" s="3" t="s">
        <v>152</v>
      </c>
      <c r="C150" s="3">
        <v>103</v>
      </c>
      <c r="D150" s="3">
        <v>2529</v>
      </c>
      <c r="E150" s="4">
        <f t="shared" si="27"/>
        <v>871.33254250691971</v>
      </c>
      <c r="F150" s="9">
        <f t="shared" si="28"/>
        <v>0.34453639482282311</v>
      </c>
      <c r="G150" s="7">
        <v>402</v>
      </c>
      <c r="H150" s="11">
        <f t="shared" si="29"/>
        <v>0.15895610913404506</v>
      </c>
      <c r="I150" s="7">
        <v>268</v>
      </c>
      <c r="J150" s="11">
        <f t="shared" si="30"/>
        <v>0.10597073942269672</v>
      </c>
      <c r="K150" s="7">
        <v>47</v>
      </c>
      <c r="L150" s="11">
        <f t="shared" si="31"/>
        <v>1.8584420719652037E-2</v>
      </c>
      <c r="M150" s="7">
        <v>10</v>
      </c>
      <c r="N150" s="11">
        <f t="shared" si="32"/>
        <v>3.9541320680110716E-3</v>
      </c>
      <c r="O150" s="7">
        <v>57</v>
      </c>
      <c r="P150" s="11">
        <f t="shared" si="33"/>
        <v>2.2538552787663108E-2</v>
      </c>
      <c r="Q150" s="8">
        <f t="shared" si="26"/>
        <v>114</v>
      </c>
      <c r="R150" s="12">
        <f t="shared" si="34"/>
        <v>4.5077105575326216E-2</v>
      </c>
      <c r="S150" s="7">
        <v>50</v>
      </c>
      <c r="T150" s="11">
        <f t="shared" si="35"/>
        <v>1.9770660340055358E-2</v>
      </c>
      <c r="U150" s="7">
        <v>6</v>
      </c>
      <c r="V150" s="11">
        <f t="shared" si="36"/>
        <v>2.3724792408066431E-3</v>
      </c>
      <c r="W150" s="7">
        <v>1</v>
      </c>
      <c r="X150" s="11">
        <f t="shared" si="37"/>
        <v>3.9541320680110717E-4</v>
      </c>
      <c r="Y150" s="7">
        <v>30</v>
      </c>
      <c r="Z150" s="9">
        <f t="shared" si="38"/>
        <v>1.1862396204033215E-2</v>
      </c>
    </row>
    <row r="151" spans="1:26" x14ac:dyDescent="0.2">
      <c r="A151" s="3">
        <v>247</v>
      </c>
      <c r="B151" s="3" t="s">
        <v>153</v>
      </c>
      <c r="C151" s="3">
        <v>111</v>
      </c>
      <c r="D151" s="3">
        <v>19872</v>
      </c>
      <c r="E151" s="4">
        <f t="shared" si="27"/>
        <v>9182.4602455716595</v>
      </c>
      <c r="F151" s="9">
        <f t="shared" si="28"/>
        <v>0.46208032636733393</v>
      </c>
      <c r="G151" s="7">
        <v>5672</v>
      </c>
      <c r="H151" s="11">
        <f t="shared" si="29"/>
        <v>0.28542673107890498</v>
      </c>
      <c r="I151" s="7">
        <v>1631</v>
      </c>
      <c r="J151" s="11">
        <f t="shared" si="30"/>
        <v>8.2075281803542677E-2</v>
      </c>
      <c r="K151" s="7">
        <v>557</v>
      </c>
      <c r="L151" s="11">
        <f t="shared" si="31"/>
        <v>2.8029388083735909E-2</v>
      </c>
      <c r="M151" s="7">
        <v>511</v>
      </c>
      <c r="N151" s="11">
        <f t="shared" si="32"/>
        <v>2.5714573268921095E-2</v>
      </c>
      <c r="O151" s="7"/>
      <c r="P151" s="11">
        <f t="shared" si="33"/>
        <v>0</v>
      </c>
      <c r="Q151" s="8">
        <f t="shared" si="26"/>
        <v>1068</v>
      </c>
      <c r="R151" s="12">
        <f t="shared" si="34"/>
        <v>5.3743961352657008E-2</v>
      </c>
      <c r="S151" s="7">
        <v>647</v>
      </c>
      <c r="T151" s="11">
        <f t="shared" si="35"/>
        <v>3.2558373590982286E-2</v>
      </c>
      <c r="U151" s="7">
        <v>125</v>
      </c>
      <c r="V151" s="11">
        <f t="shared" si="36"/>
        <v>6.2902576489533013E-3</v>
      </c>
      <c r="W151" s="7">
        <v>3</v>
      </c>
      <c r="X151" s="11">
        <f t="shared" si="37"/>
        <v>1.5096618357487922E-4</v>
      </c>
      <c r="Y151" s="7">
        <v>36</v>
      </c>
      <c r="Z151" s="9">
        <f t="shared" si="38"/>
        <v>1.8115942028985507E-3</v>
      </c>
    </row>
    <row r="152" spans="1:26" x14ac:dyDescent="0.2">
      <c r="A152" s="3">
        <v>248</v>
      </c>
      <c r="B152" s="3" t="s">
        <v>154</v>
      </c>
      <c r="C152" s="3">
        <v>80</v>
      </c>
      <c r="D152" s="3">
        <v>4799</v>
      </c>
      <c r="E152" s="4">
        <f t="shared" si="27"/>
        <v>1938.4038341321107</v>
      </c>
      <c r="F152" s="9">
        <f t="shared" si="28"/>
        <v>0.40391828175288824</v>
      </c>
      <c r="G152" s="7">
        <v>809</v>
      </c>
      <c r="H152" s="11">
        <f t="shared" si="29"/>
        <v>0.16857678683058971</v>
      </c>
      <c r="I152" s="7">
        <v>594</v>
      </c>
      <c r="J152" s="11">
        <f t="shared" si="30"/>
        <v>0.12377578662221296</v>
      </c>
      <c r="K152" s="7"/>
      <c r="L152" s="11">
        <f t="shared" si="31"/>
        <v>0</v>
      </c>
      <c r="M152" s="7"/>
      <c r="N152" s="11">
        <f t="shared" si="32"/>
        <v>0</v>
      </c>
      <c r="O152" s="7">
        <v>345</v>
      </c>
      <c r="P152" s="11">
        <f t="shared" si="33"/>
        <v>7.1889977078558029E-2</v>
      </c>
      <c r="Q152" s="8">
        <f t="shared" si="26"/>
        <v>345</v>
      </c>
      <c r="R152" s="12">
        <f t="shared" si="34"/>
        <v>7.1889977078558029E-2</v>
      </c>
      <c r="S152" s="7">
        <v>179</v>
      </c>
      <c r="T152" s="11">
        <f t="shared" si="35"/>
        <v>3.7299437382788084E-2</v>
      </c>
      <c r="U152" s="7">
        <v>9</v>
      </c>
      <c r="V152" s="11">
        <f t="shared" si="36"/>
        <v>1.875390706397166E-3</v>
      </c>
      <c r="W152" s="7">
        <v>2</v>
      </c>
      <c r="X152" s="11">
        <f t="shared" si="37"/>
        <v>4.1675349031048136E-4</v>
      </c>
      <c r="Y152" s="7"/>
      <c r="Z152" s="9">
        <f t="shared" si="38"/>
        <v>0</v>
      </c>
    </row>
    <row r="153" spans="1:26" x14ac:dyDescent="0.2">
      <c r="A153" s="3">
        <v>249</v>
      </c>
      <c r="B153" s="3" t="s">
        <v>155</v>
      </c>
      <c r="C153" s="3">
        <v>100</v>
      </c>
      <c r="D153" s="3">
        <v>3982</v>
      </c>
      <c r="E153" s="4">
        <f t="shared" si="27"/>
        <v>1491.3689100954293</v>
      </c>
      <c r="F153" s="9">
        <f t="shared" si="28"/>
        <v>0.37452760173164973</v>
      </c>
      <c r="G153" s="7">
        <v>708</v>
      </c>
      <c r="H153" s="11">
        <f t="shared" si="29"/>
        <v>0.17780010045203415</v>
      </c>
      <c r="I153" s="7">
        <v>404</v>
      </c>
      <c r="J153" s="11">
        <f t="shared" si="30"/>
        <v>0.10145655449522853</v>
      </c>
      <c r="K153" s="7">
        <v>150</v>
      </c>
      <c r="L153" s="11">
        <f t="shared" si="31"/>
        <v>3.7669512807634357E-2</v>
      </c>
      <c r="M153" s="7">
        <v>74</v>
      </c>
      <c r="N153" s="11">
        <f t="shared" si="32"/>
        <v>1.8583626318432949E-2</v>
      </c>
      <c r="O153" s="7"/>
      <c r="P153" s="11">
        <f t="shared" si="33"/>
        <v>0</v>
      </c>
      <c r="Q153" s="8">
        <f t="shared" si="26"/>
        <v>224</v>
      </c>
      <c r="R153" s="12">
        <f t="shared" si="34"/>
        <v>5.6253139126067303E-2</v>
      </c>
      <c r="S153" s="7">
        <v>129</v>
      </c>
      <c r="T153" s="11">
        <f t="shared" si="35"/>
        <v>3.2395781014565542E-2</v>
      </c>
      <c r="U153" s="7">
        <v>4</v>
      </c>
      <c r="V153" s="11">
        <f t="shared" si="36"/>
        <v>1.0045203415369162E-3</v>
      </c>
      <c r="W153" s="7"/>
      <c r="X153" s="11">
        <f t="shared" si="37"/>
        <v>0</v>
      </c>
      <c r="Y153" s="7">
        <v>22</v>
      </c>
      <c r="Z153" s="9">
        <f t="shared" si="38"/>
        <v>5.5248618784530384E-3</v>
      </c>
    </row>
    <row r="154" spans="1:26" x14ac:dyDescent="0.2">
      <c r="A154" s="3">
        <v>250</v>
      </c>
      <c r="B154" s="3" t="s">
        <v>156</v>
      </c>
      <c r="C154" s="3">
        <v>118</v>
      </c>
      <c r="D154" s="3">
        <v>10009</v>
      </c>
      <c r="E154" s="4">
        <f t="shared" si="27"/>
        <v>4071.4007393345987</v>
      </c>
      <c r="F154" s="9">
        <f t="shared" si="28"/>
        <v>0.40677397735384141</v>
      </c>
      <c r="G154" s="7">
        <v>2137</v>
      </c>
      <c r="H154" s="11">
        <f t="shared" si="29"/>
        <v>0.21350784294135278</v>
      </c>
      <c r="I154" s="7">
        <v>928</v>
      </c>
      <c r="J154" s="11">
        <f t="shared" si="30"/>
        <v>9.2716555100409631E-2</v>
      </c>
      <c r="K154" s="7"/>
      <c r="L154" s="11">
        <f t="shared" si="31"/>
        <v>0</v>
      </c>
      <c r="M154" s="7">
        <v>283</v>
      </c>
      <c r="N154" s="11">
        <f t="shared" si="32"/>
        <v>2.827455290238785E-2</v>
      </c>
      <c r="O154" s="7">
        <v>400</v>
      </c>
      <c r="P154" s="11">
        <f t="shared" si="33"/>
        <v>3.9964032370866223E-2</v>
      </c>
      <c r="Q154" s="8">
        <f t="shared" si="26"/>
        <v>683</v>
      </c>
      <c r="R154" s="12">
        <f t="shared" si="34"/>
        <v>6.8238585273254077E-2</v>
      </c>
      <c r="S154" s="7">
        <v>252</v>
      </c>
      <c r="T154" s="11">
        <f t="shared" si="35"/>
        <v>2.517734039364572E-2</v>
      </c>
      <c r="U154" s="7">
        <v>10</v>
      </c>
      <c r="V154" s="11">
        <f t="shared" si="36"/>
        <v>9.9910080927165549E-4</v>
      </c>
      <c r="W154" s="7">
        <v>1</v>
      </c>
      <c r="X154" s="11">
        <f t="shared" si="37"/>
        <v>9.9910080927165547E-5</v>
      </c>
      <c r="Y154" s="7">
        <v>60</v>
      </c>
      <c r="Z154" s="9">
        <f t="shared" si="38"/>
        <v>5.994604855629933E-3</v>
      </c>
    </row>
    <row r="155" spans="1:26" x14ac:dyDescent="0.2">
      <c r="A155" s="3">
        <v>251</v>
      </c>
      <c r="B155" s="3" t="s">
        <v>157</v>
      </c>
      <c r="C155" s="3">
        <v>103</v>
      </c>
      <c r="D155" s="3">
        <v>4857</v>
      </c>
      <c r="E155" s="4">
        <f t="shared" si="27"/>
        <v>1816.3714226889026</v>
      </c>
      <c r="F155" s="9">
        <f t="shared" si="28"/>
        <v>0.37396982143069851</v>
      </c>
      <c r="G155" s="7">
        <v>867</v>
      </c>
      <c r="H155" s="11">
        <f t="shared" si="29"/>
        <v>0.17850525015441632</v>
      </c>
      <c r="I155" s="7">
        <v>500</v>
      </c>
      <c r="J155" s="11">
        <f t="shared" si="30"/>
        <v>0.10294420424130121</v>
      </c>
      <c r="K155" s="7">
        <v>207</v>
      </c>
      <c r="L155" s="11">
        <f t="shared" si="31"/>
        <v>4.2618900555898703E-2</v>
      </c>
      <c r="M155" s="7">
        <v>73</v>
      </c>
      <c r="N155" s="11">
        <f t="shared" si="32"/>
        <v>1.5029853819229977E-2</v>
      </c>
      <c r="O155" s="7">
        <v>0</v>
      </c>
      <c r="P155" s="11">
        <f t="shared" si="33"/>
        <v>0</v>
      </c>
      <c r="Q155" s="8">
        <f t="shared" si="26"/>
        <v>280</v>
      </c>
      <c r="R155" s="12">
        <f t="shared" si="34"/>
        <v>5.7648754375128682E-2</v>
      </c>
      <c r="S155" s="7">
        <v>148</v>
      </c>
      <c r="T155" s="11">
        <f t="shared" si="35"/>
        <v>3.0471484455425159E-2</v>
      </c>
      <c r="U155" s="7">
        <v>8</v>
      </c>
      <c r="V155" s="11">
        <f t="shared" si="36"/>
        <v>1.6471072678608193E-3</v>
      </c>
      <c r="W155" s="7">
        <v>1</v>
      </c>
      <c r="X155" s="11">
        <f t="shared" si="37"/>
        <v>2.0588840848260242E-4</v>
      </c>
      <c r="Y155" s="7">
        <v>12</v>
      </c>
      <c r="Z155" s="9">
        <f t="shared" si="38"/>
        <v>2.4706609017912293E-3</v>
      </c>
    </row>
    <row r="156" spans="1:26" x14ac:dyDescent="0.2">
      <c r="A156" s="3">
        <v>261</v>
      </c>
      <c r="B156" s="3" t="s">
        <v>158</v>
      </c>
      <c r="C156" s="3">
        <v>119</v>
      </c>
      <c r="D156" s="3">
        <v>420891</v>
      </c>
      <c r="E156" s="4">
        <f t="shared" si="27"/>
        <v>151096.35899080758</v>
      </c>
      <c r="F156" s="9">
        <f t="shared" si="28"/>
        <v>0.35899166052685277</v>
      </c>
      <c r="G156" s="7">
        <v>98187</v>
      </c>
      <c r="H156" s="11">
        <f t="shared" si="29"/>
        <v>0.23328367677142062</v>
      </c>
      <c r="I156" s="7">
        <v>14745</v>
      </c>
      <c r="J156" s="11">
        <f t="shared" si="30"/>
        <v>3.5032823225015504E-2</v>
      </c>
      <c r="K156" s="7">
        <v>13053</v>
      </c>
      <c r="L156" s="11">
        <f t="shared" si="31"/>
        <v>3.1012780030934373E-2</v>
      </c>
      <c r="M156" s="7">
        <v>6296</v>
      </c>
      <c r="N156" s="11">
        <f t="shared" si="32"/>
        <v>1.4958742287195497E-2</v>
      </c>
      <c r="O156" s="7">
        <v>3147</v>
      </c>
      <c r="P156" s="11">
        <f t="shared" si="33"/>
        <v>7.4769952315445094E-3</v>
      </c>
      <c r="Q156" s="8">
        <f t="shared" si="26"/>
        <v>22496</v>
      </c>
      <c r="R156" s="12">
        <f t="shared" si="34"/>
        <v>5.3448517549674383E-2</v>
      </c>
      <c r="S156" s="7">
        <v>12164</v>
      </c>
      <c r="T156" s="11">
        <f t="shared" si="35"/>
        <v>2.8900594215604515E-2</v>
      </c>
      <c r="U156" s="7">
        <v>3417</v>
      </c>
      <c r="V156" s="11">
        <f t="shared" si="36"/>
        <v>8.1184914859191576E-3</v>
      </c>
      <c r="W156" s="7">
        <v>87</v>
      </c>
      <c r="X156" s="11">
        <f t="shared" si="37"/>
        <v>2.0670434863183105E-4</v>
      </c>
      <c r="Y156" s="7"/>
      <c r="Z156" s="9">
        <f t="shared" si="38"/>
        <v>0</v>
      </c>
    </row>
    <row r="157" spans="1:26" x14ac:dyDescent="0.2">
      <c r="A157" s="3">
        <v>292</v>
      </c>
      <c r="B157" s="3" t="s">
        <v>159</v>
      </c>
      <c r="C157" s="3">
        <v>124</v>
      </c>
      <c r="D157" s="3">
        <v>2858</v>
      </c>
      <c r="E157" s="4">
        <f t="shared" si="27"/>
        <v>1156.4020293911829</v>
      </c>
      <c r="F157" s="9">
        <f t="shared" si="28"/>
        <v>0.40461932448956711</v>
      </c>
      <c r="G157" s="7">
        <v>552</v>
      </c>
      <c r="H157" s="11">
        <f t="shared" si="29"/>
        <v>0.19314205738278517</v>
      </c>
      <c r="I157" s="7">
        <v>370</v>
      </c>
      <c r="J157" s="11">
        <f t="shared" si="30"/>
        <v>0.12946116165150454</v>
      </c>
      <c r="K157" s="7">
        <v>108</v>
      </c>
      <c r="L157" s="11">
        <f t="shared" si="31"/>
        <v>3.7788663400979708E-2</v>
      </c>
      <c r="M157" s="7">
        <v>36</v>
      </c>
      <c r="N157" s="11">
        <f t="shared" si="32"/>
        <v>1.2596221133659902E-2</v>
      </c>
      <c r="O157" s="7">
        <v>0</v>
      </c>
      <c r="P157" s="11">
        <f t="shared" si="33"/>
        <v>0</v>
      </c>
      <c r="Q157" s="8">
        <f t="shared" si="26"/>
        <v>144</v>
      </c>
      <c r="R157" s="12">
        <f t="shared" si="34"/>
        <v>5.0384884534639608E-2</v>
      </c>
      <c r="S157" s="7">
        <v>77</v>
      </c>
      <c r="T157" s="11">
        <f t="shared" si="35"/>
        <v>2.6941917424772567E-2</v>
      </c>
      <c r="U157" s="7">
        <v>5</v>
      </c>
      <c r="V157" s="11">
        <f t="shared" si="36"/>
        <v>1.7494751574527643E-3</v>
      </c>
      <c r="W157" s="7">
        <v>1</v>
      </c>
      <c r="X157" s="11">
        <f t="shared" si="37"/>
        <v>3.4989503149055281E-4</v>
      </c>
      <c r="Y157" s="7">
        <v>7</v>
      </c>
      <c r="Z157" s="9">
        <f t="shared" si="38"/>
        <v>2.4492652204338699E-3</v>
      </c>
    </row>
    <row r="158" spans="1:26" x14ac:dyDescent="0.2">
      <c r="A158" s="3">
        <v>293</v>
      </c>
      <c r="B158" s="3" t="s">
        <v>160</v>
      </c>
      <c r="C158" s="3">
        <v>104</v>
      </c>
      <c r="D158" s="3">
        <v>24808</v>
      </c>
      <c r="E158" s="4">
        <f t="shared" si="27"/>
        <v>10248.411399548533</v>
      </c>
      <c r="F158" s="9">
        <f t="shared" si="28"/>
        <v>0.41310913413207567</v>
      </c>
      <c r="G158" s="7">
        <v>4747</v>
      </c>
      <c r="H158" s="11">
        <f t="shared" si="29"/>
        <v>0.19134956465656239</v>
      </c>
      <c r="I158" s="7">
        <v>2761</v>
      </c>
      <c r="J158" s="11">
        <f t="shared" si="30"/>
        <v>0.11129474363108674</v>
      </c>
      <c r="K158" s="7">
        <v>1125</v>
      </c>
      <c r="L158" s="11">
        <f t="shared" si="31"/>
        <v>4.5348274750080617E-2</v>
      </c>
      <c r="M158" s="7">
        <v>565</v>
      </c>
      <c r="N158" s="11">
        <f t="shared" si="32"/>
        <v>2.2774911318929378E-2</v>
      </c>
      <c r="O158" s="7"/>
      <c r="P158" s="11">
        <f t="shared" si="33"/>
        <v>0</v>
      </c>
      <c r="Q158" s="8">
        <f t="shared" si="26"/>
        <v>1690</v>
      </c>
      <c r="R158" s="12">
        <f t="shared" si="34"/>
        <v>6.8123186069009994E-2</v>
      </c>
      <c r="S158" s="7">
        <v>855</v>
      </c>
      <c r="T158" s="11">
        <f t="shared" si="35"/>
        <v>3.4464688810061268E-2</v>
      </c>
      <c r="U158" s="7">
        <v>145</v>
      </c>
      <c r="V158" s="11">
        <f t="shared" si="36"/>
        <v>5.8448887455659461E-3</v>
      </c>
      <c r="W158" s="7">
        <v>8</v>
      </c>
      <c r="X158" s="11">
        <f t="shared" si="37"/>
        <v>3.2247662044501772E-4</v>
      </c>
      <c r="Y158" s="7">
        <v>42</v>
      </c>
      <c r="Z158" s="9">
        <f t="shared" si="38"/>
        <v>1.6930022573363431E-3</v>
      </c>
    </row>
    <row r="159" spans="1:26" x14ac:dyDescent="0.2">
      <c r="A159" s="3">
        <v>294</v>
      </c>
      <c r="B159" s="3" t="s">
        <v>161</v>
      </c>
      <c r="C159" s="3">
        <v>117</v>
      </c>
      <c r="D159" s="3">
        <v>4951</v>
      </c>
      <c r="E159" s="4">
        <f t="shared" si="27"/>
        <v>1749.3296303777017</v>
      </c>
      <c r="F159" s="9">
        <f t="shared" si="28"/>
        <v>0.35332854582462164</v>
      </c>
      <c r="G159" s="7">
        <v>880</v>
      </c>
      <c r="H159" s="11">
        <f t="shared" si="29"/>
        <v>0.17774187032922642</v>
      </c>
      <c r="I159" s="7">
        <v>400</v>
      </c>
      <c r="J159" s="11">
        <f t="shared" si="30"/>
        <v>8.0791759240557467E-2</v>
      </c>
      <c r="K159" s="7">
        <v>151</v>
      </c>
      <c r="L159" s="11">
        <f t="shared" si="31"/>
        <v>3.0498889113310442E-2</v>
      </c>
      <c r="M159" s="7">
        <v>33</v>
      </c>
      <c r="N159" s="11">
        <f t="shared" si="32"/>
        <v>6.6653201373459911E-3</v>
      </c>
      <c r="O159" s="7">
        <v>0</v>
      </c>
      <c r="P159" s="11">
        <f t="shared" si="33"/>
        <v>0</v>
      </c>
      <c r="Q159" s="8">
        <f t="shared" si="26"/>
        <v>184</v>
      </c>
      <c r="R159" s="12">
        <f t="shared" si="34"/>
        <v>3.716420925065643E-2</v>
      </c>
      <c r="S159" s="7">
        <v>105</v>
      </c>
      <c r="T159" s="11">
        <f t="shared" si="35"/>
        <v>2.1207836800646335E-2</v>
      </c>
      <c r="U159" s="7">
        <v>61</v>
      </c>
      <c r="V159" s="11">
        <f t="shared" si="36"/>
        <v>1.2320743284185013E-2</v>
      </c>
      <c r="W159" s="7">
        <v>2</v>
      </c>
      <c r="X159" s="11">
        <f t="shared" si="37"/>
        <v>4.0395879620278729E-4</v>
      </c>
      <c r="Y159" s="7">
        <v>117</v>
      </c>
      <c r="Z159" s="9">
        <f t="shared" si="38"/>
        <v>2.3631589577863057E-2</v>
      </c>
    </row>
    <row r="160" spans="1:26" x14ac:dyDescent="0.2">
      <c r="A160" s="3">
        <v>295</v>
      </c>
      <c r="B160" s="3" t="s">
        <v>162</v>
      </c>
      <c r="C160" s="3">
        <v>87</v>
      </c>
      <c r="D160" s="3">
        <v>23073</v>
      </c>
      <c r="E160" s="4">
        <f t="shared" si="27"/>
        <v>8451.3642352533261</v>
      </c>
      <c r="F160" s="9">
        <f t="shared" si="28"/>
        <v>0.36628805249656854</v>
      </c>
      <c r="G160" s="7">
        <v>3953</v>
      </c>
      <c r="H160" s="11">
        <f t="shared" si="29"/>
        <v>0.1713257920513154</v>
      </c>
      <c r="I160" s="7">
        <v>2370</v>
      </c>
      <c r="J160" s="11">
        <f t="shared" si="30"/>
        <v>0.10271746196853465</v>
      </c>
      <c r="K160" s="7">
        <v>912</v>
      </c>
      <c r="L160" s="11">
        <f t="shared" si="31"/>
        <v>3.9526719542322196E-2</v>
      </c>
      <c r="M160" s="7">
        <v>430</v>
      </c>
      <c r="N160" s="11">
        <f t="shared" si="32"/>
        <v>1.8636501538594894E-2</v>
      </c>
      <c r="O160" s="7"/>
      <c r="P160" s="11">
        <f t="shared" si="33"/>
        <v>0</v>
      </c>
      <c r="Q160" s="8">
        <f t="shared" si="26"/>
        <v>1342</v>
      </c>
      <c r="R160" s="12">
        <f t="shared" si="34"/>
        <v>5.8163221080917087E-2</v>
      </c>
      <c r="S160" s="7">
        <v>622</v>
      </c>
      <c r="T160" s="11">
        <f t="shared" si="35"/>
        <v>2.6957916179083777E-2</v>
      </c>
      <c r="U160" s="7">
        <v>112</v>
      </c>
      <c r="V160" s="11">
        <f t="shared" si="36"/>
        <v>4.854158540285182E-3</v>
      </c>
      <c r="W160" s="7">
        <v>5</v>
      </c>
      <c r="X160" s="11">
        <f t="shared" si="37"/>
        <v>2.1670350626273134E-4</v>
      </c>
      <c r="Y160" s="7">
        <v>47</v>
      </c>
      <c r="Z160" s="9">
        <f t="shared" si="38"/>
        <v>2.0370129588696746E-3</v>
      </c>
    </row>
    <row r="161" spans="1:26" x14ac:dyDescent="0.2">
      <c r="A161" s="3">
        <v>296</v>
      </c>
      <c r="B161" s="3" t="s">
        <v>163</v>
      </c>
      <c r="C161" s="3">
        <v>110</v>
      </c>
      <c r="D161" s="3">
        <v>17345</v>
      </c>
      <c r="E161" s="4">
        <f t="shared" si="27"/>
        <v>7166.4100893629293</v>
      </c>
      <c r="F161" s="9">
        <f t="shared" si="28"/>
        <v>0.41316864164675293</v>
      </c>
      <c r="G161" s="7">
        <v>3596</v>
      </c>
      <c r="H161" s="11">
        <f t="shared" si="29"/>
        <v>0.20732199481118477</v>
      </c>
      <c r="I161" s="7">
        <v>1867</v>
      </c>
      <c r="J161" s="11">
        <f t="shared" si="30"/>
        <v>0.10763908907466128</v>
      </c>
      <c r="K161" s="7">
        <v>707</v>
      </c>
      <c r="L161" s="11">
        <f t="shared" si="31"/>
        <v>4.0761026232343615E-2</v>
      </c>
      <c r="M161" s="7">
        <v>310</v>
      </c>
      <c r="N161" s="11">
        <f t="shared" si="32"/>
        <v>1.7872585759584895E-2</v>
      </c>
      <c r="O161" s="7"/>
      <c r="P161" s="11">
        <f t="shared" si="33"/>
        <v>0</v>
      </c>
      <c r="Q161" s="8">
        <f t="shared" si="26"/>
        <v>1017</v>
      </c>
      <c r="R161" s="12">
        <f t="shared" si="34"/>
        <v>5.8633611991928507E-2</v>
      </c>
      <c r="S161" s="7">
        <v>504</v>
      </c>
      <c r="T161" s="11">
        <f t="shared" si="35"/>
        <v>2.9057365234938022E-2</v>
      </c>
      <c r="U161" s="7">
        <v>125</v>
      </c>
      <c r="V161" s="11">
        <f t="shared" si="36"/>
        <v>7.2066878062842319E-3</v>
      </c>
      <c r="W161" s="7">
        <v>4</v>
      </c>
      <c r="X161" s="11">
        <f t="shared" si="37"/>
        <v>2.3061400980109543E-4</v>
      </c>
      <c r="Y161" s="7">
        <v>53</v>
      </c>
      <c r="Z161" s="9">
        <f t="shared" si="38"/>
        <v>3.0556356298645144E-3</v>
      </c>
    </row>
    <row r="162" spans="1:26" x14ac:dyDescent="0.2">
      <c r="A162" s="3">
        <v>297</v>
      </c>
      <c r="B162" s="3" t="s">
        <v>164</v>
      </c>
      <c r="C162" s="3">
        <v>120</v>
      </c>
      <c r="D162" s="3">
        <v>4879</v>
      </c>
      <c r="E162" s="4">
        <f t="shared" si="27"/>
        <v>1988.3746669399466</v>
      </c>
      <c r="F162" s="9">
        <f t="shared" si="28"/>
        <v>0.40753733694198535</v>
      </c>
      <c r="G162" s="7">
        <v>1098</v>
      </c>
      <c r="H162" s="11">
        <f t="shared" si="29"/>
        <v>0.22504611600737856</v>
      </c>
      <c r="I162" s="7">
        <v>219</v>
      </c>
      <c r="J162" s="11">
        <f t="shared" si="30"/>
        <v>4.4886247181799552E-2</v>
      </c>
      <c r="K162" s="7">
        <v>180</v>
      </c>
      <c r="L162" s="11">
        <f t="shared" si="31"/>
        <v>3.6892805902848942E-2</v>
      </c>
      <c r="M162" s="7">
        <v>78</v>
      </c>
      <c r="N162" s="11">
        <f t="shared" si="32"/>
        <v>1.5986882557901209E-2</v>
      </c>
      <c r="O162" s="7"/>
      <c r="P162" s="11">
        <f t="shared" si="33"/>
        <v>0</v>
      </c>
      <c r="Q162" s="8">
        <f t="shared" si="26"/>
        <v>258</v>
      </c>
      <c r="R162" s="12">
        <f t="shared" si="34"/>
        <v>5.2879688460750154E-2</v>
      </c>
      <c r="S162" s="7">
        <v>168</v>
      </c>
      <c r="T162" s="11">
        <f t="shared" si="35"/>
        <v>3.443328550932568E-2</v>
      </c>
      <c r="U162" s="7">
        <v>84</v>
      </c>
      <c r="V162" s="11">
        <f t="shared" si="36"/>
        <v>1.721664275466284E-2</v>
      </c>
      <c r="W162" s="7">
        <v>1</v>
      </c>
      <c r="X162" s="11">
        <f t="shared" si="37"/>
        <v>2.0496003279360525E-4</v>
      </c>
      <c r="Y162" s="7">
        <v>160</v>
      </c>
      <c r="Z162" s="9">
        <f t="shared" si="38"/>
        <v>3.2793605246976838E-2</v>
      </c>
    </row>
    <row r="163" spans="1:26" x14ac:dyDescent="0.2">
      <c r="A163" s="3">
        <v>298</v>
      </c>
      <c r="B163" s="3" t="s">
        <v>165</v>
      </c>
      <c r="C163" s="3">
        <v>90</v>
      </c>
      <c r="D163" s="3">
        <v>6636</v>
      </c>
      <c r="E163" s="4">
        <f t="shared" si="27"/>
        <v>2708.4080771549125</v>
      </c>
      <c r="F163" s="9">
        <f t="shared" si="28"/>
        <v>0.4081386493602942</v>
      </c>
      <c r="G163" s="7">
        <v>940</v>
      </c>
      <c r="H163" s="11">
        <f t="shared" si="29"/>
        <v>0.14165159734779989</v>
      </c>
      <c r="I163" s="7">
        <v>1061</v>
      </c>
      <c r="J163" s="11">
        <f t="shared" si="30"/>
        <v>0.15988547317661242</v>
      </c>
      <c r="K163" s="7">
        <v>335</v>
      </c>
      <c r="L163" s="11">
        <f t="shared" si="31"/>
        <v>5.0482218203737189E-2</v>
      </c>
      <c r="M163" s="7">
        <v>105</v>
      </c>
      <c r="N163" s="11">
        <f t="shared" si="32"/>
        <v>1.5822784810126583E-2</v>
      </c>
      <c r="O163" s="7"/>
      <c r="P163" s="11">
        <f t="shared" si="33"/>
        <v>0</v>
      </c>
      <c r="Q163" s="8">
        <f t="shared" si="26"/>
        <v>440</v>
      </c>
      <c r="R163" s="12">
        <f t="shared" si="34"/>
        <v>6.6305003013863772E-2</v>
      </c>
      <c r="S163" s="7">
        <v>210</v>
      </c>
      <c r="T163" s="11">
        <f t="shared" si="35"/>
        <v>3.1645569620253167E-2</v>
      </c>
      <c r="U163" s="7">
        <v>57</v>
      </c>
      <c r="V163" s="11">
        <f t="shared" si="36"/>
        <v>8.5895117540687165E-3</v>
      </c>
      <c r="W163" s="7"/>
      <c r="X163" s="11">
        <f t="shared" si="37"/>
        <v>0</v>
      </c>
      <c r="Y163" s="7"/>
      <c r="Z163" s="9">
        <f t="shared" si="38"/>
        <v>0</v>
      </c>
    </row>
  </sheetData>
  <sortState xmlns:xlrd2="http://schemas.microsoft.com/office/spreadsheetml/2017/richdata2" ref="A2:D164">
    <sortCondition ref="A1:A16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Gander</dc:creator>
  <cp:lastModifiedBy>Laura Gander</cp:lastModifiedBy>
  <dcterms:created xsi:type="dcterms:W3CDTF">2021-05-13T12:42:14Z</dcterms:created>
  <dcterms:modified xsi:type="dcterms:W3CDTF">2021-05-14T10:56:54Z</dcterms:modified>
</cp:coreProperties>
</file>