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arah\OneDrive\Dokumente\Studium\FS21\BINA\Semesterarbeit\Sarah\Neu\Abgabe\"/>
    </mc:Choice>
  </mc:AlternateContent>
  <bookViews>
    <workbookView xWindow="0" yWindow="0" windowWidth="28800" windowHeight="12710"/>
  </bookViews>
  <sheets>
    <sheet name="Sammelstellen_Menge_Bevölkerung" sheetId="1" r:id="rId1"/>
  </sheets>
  <definedNames>
    <definedName name="_xlnm._FilterDatabase" localSheetId="0" hidden="1">Sammelstellen_Menge_Bevölkerung!$A$1:$N$163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86" i="1" l="1"/>
  <c r="N23" i="1" l="1"/>
  <c r="N75" i="1"/>
  <c r="N107" i="1"/>
  <c r="N80" i="1"/>
  <c r="N81" i="1"/>
  <c r="N110" i="1"/>
  <c r="N83" i="1"/>
  <c r="N93" i="1"/>
  <c r="N85" i="1"/>
  <c r="N97" i="1"/>
  <c r="N78" i="1"/>
  <c r="N79" i="1"/>
  <c r="N84" i="1"/>
  <c r="N77" i="1"/>
  <c r="N96" i="1"/>
  <c r="N31" i="1"/>
  <c r="N87" i="1"/>
  <c r="N37" i="1"/>
  <c r="N91" i="1"/>
  <c r="N112" i="1"/>
  <c r="N74" i="1"/>
  <c r="N130" i="1"/>
  <c r="N76" i="1"/>
  <c r="N133" i="1"/>
  <c r="N57" i="1"/>
  <c r="N104" i="1"/>
  <c r="N102" i="1"/>
  <c r="N105" i="1"/>
  <c r="N51" i="1"/>
  <c r="N95" i="1"/>
  <c r="N94" i="1"/>
  <c r="N82" i="1"/>
  <c r="N101" i="1"/>
  <c r="N24" i="1"/>
  <c r="N115" i="1"/>
  <c r="N129" i="1"/>
  <c r="N48" i="1"/>
  <c r="N131" i="1"/>
  <c r="N121" i="1"/>
  <c r="N128" i="1"/>
  <c r="N45" i="1"/>
  <c r="N116" i="1"/>
  <c r="N111" i="1"/>
  <c r="N106" i="1"/>
  <c r="N119" i="1"/>
  <c r="N29" i="1"/>
  <c r="N124" i="1"/>
  <c r="N25" i="1"/>
  <c r="N27" i="1"/>
  <c r="N90" i="1"/>
  <c r="N150" i="1"/>
  <c r="N46" i="1"/>
  <c r="N154" i="1"/>
  <c r="N88" i="1"/>
  <c r="N41" i="1"/>
  <c r="N153" i="1"/>
  <c r="N113" i="1"/>
  <c r="N137" i="1"/>
  <c r="N140" i="1"/>
  <c r="N134" i="1"/>
  <c r="N69" i="1"/>
  <c r="N43" i="1"/>
  <c r="N38" i="1"/>
  <c r="N141" i="1"/>
  <c r="N161" i="1"/>
  <c r="N100" i="1"/>
  <c r="N118" i="1"/>
  <c r="N99" i="1"/>
  <c r="N114" i="1"/>
  <c r="N28" i="1"/>
  <c r="N120" i="1"/>
  <c r="N53" i="1"/>
  <c r="N152" i="1"/>
  <c r="N142" i="1"/>
  <c r="N92" i="1"/>
  <c r="N103" i="1"/>
  <c r="N19" i="1"/>
  <c r="N6" i="1"/>
  <c r="N73" i="1"/>
  <c r="N66" i="1"/>
  <c r="N109" i="1"/>
  <c r="N62" i="1"/>
  <c r="N132" i="1"/>
  <c r="N20" i="1"/>
  <c r="N35" i="1"/>
  <c r="N26" i="1"/>
  <c r="N155" i="1"/>
  <c r="N52" i="1"/>
  <c r="N72" i="1"/>
  <c r="N136" i="1"/>
  <c r="N122" i="1"/>
  <c r="N56" i="1"/>
  <c r="N108" i="1"/>
  <c r="N50" i="1"/>
  <c r="N54" i="1"/>
  <c r="N117" i="1"/>
  <c r="N5" i="1"/>
  <c r="N125" i="1"/>
  <c r="N71" i="1"/>
  <c r="N63" i="1"/>
  <c r="N30" i="1"/>
  <c r="N34" i="1"/>
  <c r="N44" i="1"/>
  <c r="N15" i="1"/>
  <c r="N157" i="1"/>
  <c r="N146" i="1"/>
  <c r="N149" i="1"/>
  <c r="N60" i="1"/>
  <c r="N14" i="1"/>
  <c r="N147" i="1"/>
  <c r="N4" i="1"/>
  <c r="N138" i="1"/>
  <c r="N68" i="1"/>
  <c r="N55" i="1"/>
  <c r="N8" i="1"/>
  <c r="N151" i="1"/>
  <c r="N61" i="1"/>
  <c r="N123" i="1"/>
  <c r="N49" i="1"/>
  <c r="N139" i="1"/>
  <c r="N89" i="1"/>
  <c r="N42" i="1"/>
  <c r="N16" i="1"/>
  <c r="N65" i="1"/>
  <c r="N98" i="1"/>
  <c r="N40" i="1"/>
  <c r="N11" i="1"/>
  <c r="N126" i="1"/>
  <c r="N33" i="1"/>
  <c r="N163" i="1"/>
  <c r="N144" i="1"/>
  <c r="N18" i="1"/>
  <c r="N143" i="1"/>
  <c r="N135" i="1"/>
  <c r="N156" i="1"/>
  <c r="N7" i="1"/>
  <c r="N10" i="1"/>
  <c r="N13" i="1"/>
  <c r="N3" i="1"/>
  <c r="N36" i="1"/>
  <c r="N39" i="1"/>
  <c r="N17" i="1"/>
  <c r="N148" i="1"/>
  <c r="N162" i="1"/>
  <c r="N47" i="1"/>
  <c r="N21" i="1"/>
  <c r="N32" i="1"/>
  <c r="N58" i="1"/>
  <c r="N22" i="1"/>
  <c r="N160" i="1"/>
  <c r="N70" i="1"/>
  <c r="N9" i="1"/>
  <c r="N159" i="1"/>
  <c r="N64" i="1"/>
  <c r="N59" i="1"/>
  <c r="N12" i="1"/>
  <c r="N2" i="1"/>
  <c r="N158" i="1"/>
  <c r="N145" i="1"/>
  <c r="N127" i="1"/>
  <c r="N67" i="1"/>
  <c r="N86" i="1"/>
  <c r="M158" i="1"/>
  <c r="M67" i="1" l="1"/>
  <c r="K67" i="1"/>
  <c r="L67" i="1" s="1"/>
  <c r="I67" i="1"/>
  <c r="J67" i="1" s="1"/>
  <c r="M127" i="1"/>
  <c r="K127" i="1"/>
  <c r="L127" i="1" s="1"/>
  <c r="I127" i="1"/>
  <c r="J127" i="1" s="1"/>
  <c r="M145" i="1"/>
  <c r="K145" i="1"/>
  <c r="L145" i="1" s="1"/>
  <c r="I145" i="1"/>
  <c r="J145" i="1" s="1"/>
  <c r="K158" i="1"/>
  <c r="L158" i="1" s="1"/>
  <c r="I158" i="1"/>
  <c r="J158" i="1" s="1"/>
  <c r="M2" i="1"/>
  <c r="K2" i="1"/>
  <c r="L2" i="1" s="1"/>
  <c r="I2" i="1"/>
  <c r="J2" i="1" s="1"/>
  <c r="M12" i="1"/>
  <c r="K12" i="1"/>
  <c r="L12" i="1" s="1"/>
  <c r="I12" i="1"/>
  <c r="J12" i="1" s="1"/>
  <c r="M59" i="1"/>
  <c r="K59" i="1"/>
  <c r="L59" i="1" s="1"/>
  <c r="I59" i="1"/>
  <c r="J59" i="1" s="1"/>
  <c r="M64" i="1"/>
  <c r="K64" i="1"/>
  <c r="L64" i="1" s="1"/>
  <c r="I64" i="1"/>
  <c r="J64" i="1" s="1"/>
  <c r="M159" i="1"/>
  <c r="K159" i="1"/>
  <c r="L159" i="1" s="1"/>
  <c r="I159" i="1"/>
  <c r="J159" i="1" s="1"/>
  <c r="M9" i="1"/>
  <c r="K9" i="1"/>
  <c r="L9" i="1" s="1"/>
  <c r="I9" i="1"/>
  <c r="J9" i="1" s="1"/>
  <c r="M70" i="1"/>
  <c r="K70" i="1"/>
  <c r="L70" i="1" s="1"/>
  <c r="I70" i="1"/>
  <c r="J70" i="1" s="1"/>
  <c r="M160" i="1"/>
  <c r="K160" i="1"/>
  <c r="L160" i="1" s="1"/>
  <c r="I160" i="1"/>
  <c r="J160" i="1" s="1"/>
  <c r="M22" i="1"/>
  <c r="K22" i="1"/>
  <c r="L22" i="1" s="1"/>
  <c r="I22" i="1"/>
  <c r="J22" i="1" s="1"/>
  <c r="M58" i="1"/>
  <c r="K58" i="1"/>
  <c r="L58" i="1" s="1"/>
  <c r="I58" i="1"/>
  <c r="J58" i="1" s="1"/>
  <c r="M32" i="1"/>
  <c r="K32" i="1"/>
  <c r="L32" i="1" s="1"/>
  <c r="I32" i="1"/>
  <c r="J32" i="1" s="1"/>
  <c r="M21" i="1"/>
  <c r="K21" i="1"/>
  <c r="L21" i="1" s="1"/>
  <c r="I21" i="1"/>
  <c r="J21" i="1" s="1"/>
  <c r="M47" i="1"/>
  <c r="K47" i="1"/>
  <c r="L47" i="1" s="1"/>
  <c r="I47" i="1"/>
  <c r="J47" i="1" s="1"/>
  <c r="M162" i="1"/>
  <c r="K162" i="1"/>
  <c r="L162" i="1" s="1"/>
  <c r="I162" i="1"/>
  <c r="J162" i="1" s="1"/>
  <c r="M148" i="1"/>
  <c r="K148" i="1"/>
  <c r="L148" i="1" s="1"/>
  <c r="I148" i="1"/>
  <c r="J148" i="1" s="1"/>
  <c r="M17" i="1"/>
  <c r="K17" i="1"/>
  <c r="L17" i="1" s="1"/>
  <c r="I17" i="1"/>
  <c r="J17" i="1" s="1"/>
  <c r="M39" i="1"/>
  <c r="K39" i="1"/>
  <c r="L39" i="1" s="1"/>
  <c r="I39" i="1"/>
  <c r="J39" i="1" s="1"/>
  <c r="M36" i="1"/>
  <c r="K36" i="1"/>
  <c r="L36" i="1" s="1"/>
  <c r="I36" i="1"/>
  <c r="J36" i="1" s="1"/>
  <c r="M3" i="1"/>
  <c r="K3" i="1"/>
  <c r="L3" i="1" s="1"/>
  <c r="I3" i="1"/>
  <c r="J3" i="1" s="1"/>
  <c r="M13" i="1"/>
  <c r="K13" i="1"/>
  <c r="L13" i="1" s="1"/>
  <c r="I13" i="1"/>
  <c r="J13" i="1" s="1"/>
  <c r="M10" i="1"/>
  <c r="K10" i="1"/>
  <c r="L10" i="1" s="1"/>
  <c r="I10" i="1"/>
  <c r="J10" i="1" s="1"/>
  <c r="M7" i="1"/>
  <c r="K7" i="1"/>
  <c r="L7" i="1" s="1"/>
  <c r="I7" i="1"/>
  <c r="J7" i="1" s="1"/>
  <c r="M156" i="1"/>
  <c r="K156" i="1"/>
  <c r="L156" i="1" s="1"/>
  <c r="I156" i="1"/>
  <c r="J156" i="1" s="1"/>
  <c r="M135" i="1"/>
  <c r="K135" i="1"/>
  <c r="L135" i="1" s="1"/>
  <c r="I135" i="1"/>
  <c r="J135" i="1" s="1"/>
  <c r="M143" i="1"/>
  <c r="K143" i="1"/>
  <c r="L143" i="1" s="1"/>
  <c r="I143" i="1"/>
  <c r="J143" i="1" s="1"/>
  <c r="M18" i="1"/>
  <c r="K18" i="1"/>
  <c r="L18" i="1" s="1"/>
  <c r="I18" i="1"/>
  <c r="J18" i="1" s="1"/>
  <c r="M144" i="1"/>
  <c r="K144" i="1"/>
  <c r="L144" i="1" s="1"/>
  <c r="I144" i="1"/>
  <c r="J144" i="1" s="1"/>
  <c r="M163" i="1"/>
  <c r="K163" i="1"/>
  <c r="L163" i="1" s="1"/>
  <c r="I163" i="1"/>
  <c r="J163" i="1" s="1"/>
  <c r="M33" i="1"/>
  <c r="K33" i="1"/>
  <c r="L33" i="1" s="1"/>
  <c r="I33" i="1"/>
  <c r="J33" i="1" s="1"/>
  <c r="M126" i="1"/>
  <c r="K126" i="1"/>
  <c r="L126" i="1" s="1"/>
  <c r="I126" i="1"/>
  <c r="J126" i="1" s="1"/>
  <c r="M11" i="1"/>
  <c r="K11" i="1"/>
  <c r="L11" i="1" s="1"/>
  <c r="I11" i="1"/>
  <c r="J11" i="1" s="1"/>
  <c r="M40" i="1"/>
  <c r="K40" i="1"/>
  <c r="L40" i="1" s="1"/>
  <c r="I40" i="1"/>
  <c r="J40" i="1" s="1"/>
  <c r="M98" i="1"/>
  <c r="K98" i="1"/>
  <c r="L98" i="1" s="1"/>
  <c r="I98" i="1"/>
  <c r="J98" i="1" s="1"/>
  <c r="M65" i="1"/>
  <c r="K65" i="1"/>
  <c r="L65" i="1" s="1"/>
  <c r="I65" i="1"/>
  <c r="J65" i="1" s="1"/>
  <c r="M16" i="1"/>
  <c r="K16" i="1"/>
  <c r="L16" i="1" s="1"/>
  <c r="I16" i="1"/>
  <c r="J16" i="1" s="1"/>
  <c r="M42" i="1"/>
  <c r="K42" i="1"/>
  <c r="L42" i="1" s="1"/>
  <c r="I42" i="1"/>
  <c r="J42" i="1" s="1"/>
  <c r="M89" i="1"/>
  <c r="K89" i="1"/>
  <c r="L89" i="1" s="1"/>
  <c r="I89" i="1"/>
  <c r="J89" i="1" s="1"/>
  <c r="M139" i="1"/>
  <c r="K139" i="1"/>
  <c r="L139" i="1" s="1"/>
  <c r="I139" i="1"/>
  <c r="J139" i="1" s="1"/>
  <c r="M49" i="1"/>
  <c r="K49" i="1"/>
  <c r="L49" i="1" s="1"/>
  <c r="I49" i="1"/>
  <c r="J49" i="1" s="1"/>
  <c r="M123" i="1"/>
  <c r="K123" i="1"/>
  <c r="L123" i="1" s="1"/>
  <c r="I123" i="1"/>
  <c r="J123" i="1" s="1"/>
  <c r="M61" i="1"/>
  <c r="K61" i="1"/>
  <c r="L61" i="1" s="1"/>
  <c r="I61" i="1"/>
  <c r="J61" i="1" s="1"/>
  <c r="M151" i="1"/>
  <c r="K151" i="1"/>
  <c r="L151" i="1" s="1"/>
  <c r="I151" i="1"/>
  <c r="J151" i="1" s="1"/>
  <c r="M8" i="1"/>
  <c r="K8" i="1"/>
  <c r="L8" i="1" s="1"/>
  <c r="I8" i="1"/>
  <c r="J8" i="1" s="1"/>
  <c r="M55" i="1"/>
  <c r="K55" i="1"/>
  <c r="L55" i="1" s="1"/>
  <c r="I55" i="1"/>
  <c r="J55" i="1" s="1"/>
  <c r="M68" i="1"/>
  <c r="K68" i="1"/>
  <c r="L68" i="1" s="1"/>
  <c r="I68" i="1"/>
  <c r="J68" i="1" s="1"/>
  <c r="M138" i="1"/>
  <c r="K138" i="1"/>
  <c r="L138" i="1" s="1"/>
  <c r="I138" i="1"/>
  <c r="J138" i="1" s="1"/>
  <c r="M4" i="1"/>
  <c r="K4" i="1"/>
  <c r="L4" i="1" s="1"/>
  <c r="I4" i="1"/>
  <c r="J4" i="1" s="1"/>
  <c r="M147" i="1"/>
  <c r="K147" i="1"/>
  <c r="L147" i="1" s="1"/>
  <c r="I147" i="1"/>
  <c r="J147" i="1" s="1"/>
  <c r="M14" i="1"/>
  <c r="K14" i="1"/>
  <c r="L14" i="1" s="1"/>
  <c r="I14" i="1"/>
  <c r="J14" i="1" s="1"/>
  <c r="M60" i="1"/>
  <c r="K60" i="1"/>
  <c r="L60" i="1" s="1"/>
  <c r="I60" i="1"/>
  <c r="J60" i="1" s="1"/>
  <c r="M149" i="1"/>
  <c r="K149" i="1"/>
  <c r="L149" i="1" s="1"/>
  <c r="I149" i="1"/>
  <c r="J149" i="1" s="1"/>
  <c r="M146" i="1"/>
  <c r="K146" i="1"/>
  <c r="L146" i="1" s="1"/>
  <c r="I146" i="1"/>
  <c r="J146" i="1" s="1"/>
  <c r="M157" i="1"/>
  <c r="K157" i="1"/>
  <c r="L157" i="1" s="1"/>
  <c r="I157" i="1"/>
  <c r="J157" i="1" s="1"/>
  <c r="M15" i="1"/>
  <c r="K15" i="1"/>
  <c r="L15" i="1" s="1"/>
  <c r="I15" i="1"/>
  <c r="J15" i="1" s="1"/>
  <c r="M44" i="1"/>
  <c r="K44" i="1"/>
  <c r="L44" i="1" s="1"/>
  <c r="I44" i="1"/>
  <c r="J44" i="1" s="1"/>
  <c r="M34" i="1"/>
  <c r="K34" i="1"/>
  <c r="L34" i="1" s="1"/>
  <c r="I34" i="1"/>
  <c r="J34" i="1" s="1"/>
  <c r="M30" i="1"/>
  <c r="K30" i="1"/>
  <c r="L30" i="1" s="1"/>
  <c r="I30" i="1"/>
  <c r="J30" i="1" s="1"/>
  <c r="M63" i="1"/>
  <c r="K63" i="1"/>
  <c r="L63" i="1" s="1"/>
  <c r="I63" i="1"/>
  <c r="J63" i="1" s="1"/>
  <c r="M71" i="1"/>
  <c r="K71" i="1"/>
  <c r="L71" i="1" s="1"/>
  <c r="I71" i="1"/>
  <c r="J71" i="1" s="1"/>
  <c r="M125" i="1"/>
  <c r="K125" i="1"/>
  <c r="L125" i="1" s="1"/>
  <c r="I125" i="1"/>
  <c r="J125" i="1" s="1"/>
  <c r="M5" i="1"/>
  <c r="K5" i="1"/>
  <c r="L5" i="1" s="1"/>
  <c r="I5" i="1"/>
  <c r="J5" i="1" s="1"/>
  <c r="M117" i="1"/>
  <c r="K117" i="1"/>
  <c r="L117" i="1" s="1"/>
  <c r="I117" i="1"/>
  <c r="J117" i="1" s="1"/>
  <c r="M54" i="1"/>
  <c r="K54" i="1"/>
  <c r="L54" i="1" s="1"/>
  <c r="I54" i="1"/>
  <c r="J54" i="1" s="1"/>
  <c r="M50" i="1"/>
  <c r="K50" i="1"/>
  <c r="L50" i="1" s="1"/>
  <c r="I50" i="1"/>
  <c r="J50" i="1" s="1"/>
  <c r="M108" i="1"/>
  <c r="K108" i="1"/>
  <c r="L108" i="1" s="1"/>
  <c r="I108" i="1"/>
  <c r="J108" i="1" s="1"/>
  <c r="M56" i="1"/>
  <c r="K56" i="1"/>
  <c r="L56" i="1" s="1"/>
  <c r="I56" i="1"/>
  <c r="J56" i="1" s="1"/>
  <c r="M122" i="1"/>
  <c r="K122" i="1"/>
  <c r="L122" i="1" s="1"/>
  <c r="I122" i="1"/>
  <c r="J122" i="1" s="1"/>
  <c r="M136" i="1"/>
  <c r="K136" i="1"/>
  <c r="L136" i="1" s="1"/>
  <c r="I136" i="1"/>
  <c r="J136" i="1" s="1"/>
  <c r="M72" i="1"/>
  <c r="K72" i="1"/>
  <c r="L72" i="1" s="1"/>
  <c r="I72" i="1"/>
  <c r="J72" i="1" s="1"/>
  <c r="M52" i="1"/>
  <c r="K52" i="1"/>
  <c r="L52" i="1" s="1"/>
  <c r="I52" i="1"/>
  <c r="J52" i="1" s="1"/>
  <c r="M155" i="1"/>
  <c r="K155" i="1"/>
  <c r="L155" i="1" s="1"/>
  <c r="I155" i="1"/>
  <c r="J155" i="1" s="1"/>
  <c r="M26" i="1"/>
  <c r="K26" i="1"/>
  <c r="L26" i="1" s="1"/>
  <c r="I26" i="1"/>
  <c r="J26" i="1" s="1"/>
  <c r="M35" i="1"/>
  <c r="K35" i="1"/>
  <c r="L35" i="1" s="1"/>
  <c r="I35" i="1"/>
  <c r="J35" i="1" s="1"/>
  <c r="M20" i="1"/>
  <c r="K20" i="1"/>
  <c r="L20" i="1" s="1"/>
  <c r="I20" i="1"/>
  <c r="J20" i="1" s="1"/>
  <c r="M132" i="1"/>
  <c r="K132" i="1"/>
  <c r="L132" i="1" s="1"/>
  <c r="I132" i="1"/>
  <c r="J132" i="1" s="1"/>
  <c r="M62" i="1"/>
  <c r="K62" i="1"/>
  <c r="L62" i="1" s="1"/>
  <c r="I62" i="1"/>
  <c r="J62" i="1" s="1"/>
  <c r="M109" i="1"/>
  <c r="K109" i="1"/>
  <c r="L109" i="1" s="1"/>
  <c r="I109" i="1"/>
  <c r="J109" i="1" s="1"/>
  <c r="M66" i="1"/>
  <c r="K66" i="1"/>
  <c r="L66" i="1" s="1"/>
  <c r="I66" i="1"/>
  <c r="J66" i="1" s="1"/>
  <c r="M73" i="1"/>
  <c r="K73" i="1"/>
  <c r="L73" i="1" s="1"/>
  <c r="I73" i="1"/>
  <c r="J73" i="1" s="1"/>
  <c r="M6" i="1"/>
  <c r="K6" i="1"/>
  <c r="L6" i="1" s="1"/>
  <c r="I6" i="1"/>
  <c r="J6" i="1" s="1"/>
  <c r="M19" i="1"/>
  <c r="K19" i="1"/>
  <c r="L19" i="1" s="1"/>
  <c r="I19" i="1"/>
  <c r="J19" i="1" s="1"/>
  <c r="M103" i="1"/>
  <c r="K103" i="1"/>
  <c r="L103" i="1" s="1"/>
  <c r="I103" i="1"/>
  <c r="J103" i="1" s="1"/>
  <c r="M92" i="1"/>
  <c r="K92" i="1"/>
  <c r="L92" i="1" s="1"/>
  <c r="I92" i="1"/>
  <c r="J92" i="1" s="1"/>
  <c r="M142" i="1"/>
  <c r="K142" i="1"/>
  <c r="L142" i="1" s="1"/>
  <c r="I142" i="1"/>
  <c r="J142" i="1" s="1"/>
  <c r="M152" i="1"/>
  <c r="K152" i="1"/>
  <c r="L152" i="1" s="1"/>
  <c r="I152" i="1"/>
  <c r="J152" i="1" s="1"/>
  <c r="M53" i="1"/>
  <c r="K53" i="1"/>
  <c r="L53" i="1" s="1"/>
  <c r="I53" i="1"/>
  <c r="J53" i="1" s="1"/>
  <c r="M120" i="1"/>
  <c r="K120" i="1"/>
  <c r="L120" i="1" s="1"/>
  <c r="I120" i="1"/>
  <c r="J120" i="1" s="1"/>
  <c r="M28" i="1"/>
  <c r="K28" i="1"/>
  <c r="L28" i="1" s="1"/>
  <c r="I28" i="1"/>
  <c r="J28" i="1" s="1"/>
  <c r="M114" i="1"/>
  <c r="K114" i="1"/>
  <c r="L114" i="1" s="1"/>
  <c r="I114" i="1"/>
  <c r="J114" i="1" s="1"/>
  <c r="M99" i="1"/>
  <c r="K99" i="1"/>
  <c r="L99" i="1" s="1"/>
  <c r="I99" i="1"/>
  <c r="J99" i="1" s="1"/>
  <c r="M118" i="1"/>
  <c r="K118" i="1"/>
  <c r="L118" i="1" s="1"/>
  <c r="I118" i="1"/>
  <c r="J118" i="1" s="1"/>
  <c r="M100" i="1"/>
  <c r="K100" i="1"/>
  <c r="L100" i="1" s="1"/>
  <c r="I100" i="1"/>
  <c r="J100" i="1" s="1"/>
  <c r="M161" i="1"/>
  <c r="K161" i="1"/>
  <c r="L161" i="1" s="1"/>
  <c r="I161" i="1"/>
  <c r="J161" i="1" s="1"/>
  <c r="M141" i="1"/>
  <c r="K141" i="1"/>
  <c r="L141" i="1" s="1"/>
  <c r="I141" i="1"/>
  <c r="J141" i="1" s="1"/>
  <c r="M38" i="1"/>
  <c r="K38" i="1"/>
  <c r="L38" i="1" s="1"/>
  <c r="I38" i="1"/>
  <c r="J38" i="1" s="1"/>
  <c r="M43" i="1"/>
  <c r="K43" i="1"/>
  <c r="L43" i="1" s="1"/>
  <c r="I43" i="1"/>
  <c r="J43" i="1" s="1"/>
  <c r="M69" i="1"/>
  <c r="K69" i="1"/>
  <c r="L69" i="1" s="1"/>
  <c r="I69" i="1"/>
  <c r="J69" i="1" s="1"/>
  <c r="M134" i="1"/>
  <c r="K134" i="1"/>
  <c r="L134" i="1" s="1"/>
  <c r="I134" i="1"/>
  <c r="J134" i="1" s="1"/>
  <c r="M140" i="1"/>
  <c r="K140" i="1"/>
  <c r="L140" i="1" s="1"/>
  <c r="I140" i="1"/>
  <c r="J140" i="1" s="1"/>
  <c r="M137" i="1"/>
  <c r="K137" i="1"/>
  <c r="L137" i="1" s="1"/>
  <c r="I137" i="1"/>
  <c r="J137" i="1" s="1"/>
  <c r="M113" i="1"/>
  <c r="K113" i="1"/>
  <c r="L113" i="1" s="1"/>
  <c r="I113" i="1"/>
  <c r="J113" i="1" s="1"/>
  <c r="M153" i="1"/>
  <c r="K153" i="1"/>
  <c r="L153" i="1" s="1"/>
  <c r="I153" i="1"/>
  <c r="J153" i="1" s="1"/>
  <c r="M41" i="1"/>
  <c r="K41" i="1"/>
  <c r="L41" i="1" s="1"/>
  <c r="I41" i="1"/>
  <c r="J41" i="1" s="1"/>
  <c r="M88" i="1"/>
  <c r="K88" i="1"/>
  <c r="L88" i="1" s="1"/>
  <c r="I88" i="1"/>
  <c r="J88" i="1" s="1"/>
  <c r="M154" i="1"/>
  <c r="K154" i="1"/>
  <c r="L154" i="1" s="1"/>
  <c r="I154" i="1"/>
  <c r="J154" i="1" s="1"/>
  <c r="M46" i="1"/>
  <c r="K46" i="1"/>
  <c r="L46" i="1" s="1"/>
  <c r="I46" i="1"/>
  <c r="J46" i="1" s="1"/>
  <c r="M150" i="1"/>
  <c r="K150" i="1"/>
  <c r="L150" i="1" s="1"/>
  <c r="I150" i="1"/>
  <c r="J150" i="1" s="1"/>
  <c r="M90" i="1"/>
  <c r="K90" i="1"/>
  <c r="L90" i="1" s="1"/>
  <c r="I90" i="1"/>
  <c r="J90" i="1" s="1"/>
  <c r="M27" i="1"/>
  <c r="K27" i="1"/>
  <c r="L27" i="1" s="1"/>
  <c r="I27" i="1"/>
  <c r="J27" i="1" s="1"/>
  <c r="M25" i="1"/>
  <c r="K25" i="1"/>
  <c r="L25" i="1" s="1"/>
  <c r="I25" i="1"/>
  <c r="J25" i="1" s="1"/>
  <c r="M124" i="1"/>
  <c r="K124" i="1"/>
  <c r="L124" i="1" s="1"/>
  <c r="I124" i="1"/>
  <c r="J124" i="1" s="1"/>
  <c r="M29" i="1"/>
  <c r="K29" i="1"/>
  <c r="L29" i="1" s="1"/>
  <c r="I29" i="1"/>
  <c r="J29" i="1" s="1"/>
  <c r="M119" i="1"/>
  <c r="K119" i="1"/>
  <c r="L119" i="1" s="1"/>
  <c r="I119" i="1"/>
  <c r="J119" i="1" s="1"/>
  <c r="M106" i="1"/>
  <c r="K106" i="1"/>
  <c r="L106" i="1" s="1"/>
  <c r="I106" i="1"/>
  <c r="J106" i="1" s="1"/>
  <c r="M111" i="1"/>
  <c r="K111" i="1"/>
  <c r="L111" i="1" s="1"/>
  <c r="I111" i="1"/>
  <c r="J111" i="1" s="1"/>
  <c r="M116" i="1"/>
  <c r="K116" i="1"/>
  <c r="L116" i="1" s="1"/>
  <c r="I116" i="1"/>
  <c r="J116" i="1" s="1"/>
  <c r="M45" i="1"/>
  <c r="K45" i="1"/>
  <c r="L45" i="1" s="1"/>
  <c r="I45" i="1"/>
  <c r="J45" i="1" s="1"/>
  <c r="M128" i="1"/>
  <c r="K128" i="1"/>
  <c r="L128" i="1" s="1"/>
  <c r="I128" i="1"/>
  <c r="J128" i="1" s="1"/>
  <c r="M121" i="1"/>
  <c r="K121" i="1"/>
  <c r="L121" i="1" s="1"/>
  <c r="I121" i="1"/>
  <c r="J121" i="1" s="1"/>
  <c r="M131" i="1"/>
  <c r="K131" i="1"/>
  <c r="L131" i="1" s="1"/>
  <c r="I131" i="1"/>
  <c r="J131" i="1" s="1"/>
  <c r="M48" i="1"/>
  <c r="K48" i="1"/>
  <c r="L48" i="1" s="1"/>
  <c r="I48" i="1"/>
  <c r="J48" i="1" s="1"/>
  <c r="M129" i="1"/>
  <c r="K129" i="1"/>
  <c r="L129" i="1" s="1"/>
  <c r="I129" i="1"/>
  <c r="J129" i="1" s="1"/>
  <c r="M115" i="1"/>
  <c r="K115" i="1"/>
  <c r="L115" i="1" s="1"/>
  <c r="I115" i="1"/>
  <c r="J115" i="1" s="1"/>
  <c r="M24" i="1"/>
  <c r="K24" i="1"/>
  <c r="L24" i="1" s="1"/>
  <c r="I24" i="1"/>
  <c r="J24" i="1" s="1"/>
  <c r="M101" i="1"/>
  <c r="K101" i="1"/>
  <c r="L101" i="1" s="1"/>
  <c r="I101" i="1"/>
  <c r="J101" i="1" s="1"/>
  <c r="M82" i="1"/>
  <c r="K82" i="1"/>
  <c r="L82" i="1" s="1"/>
  <c r="I82" i="1"/>
  <c r="J82" i="1" s="1"/>
  <c r="M94" i="1"/>
  <c r="K94" i="1"/>
  <c r="L94" i="1" s="1"/>
  <c r="I94" i="1"/>
  <c r="J94" i="1" s="1"/>
  <c r="M95" i="1"/>
  <c r="K95" i="1"/>
  <c r="L95" i="1" s="1"/>
  <c r="I95" i="1"/>
  <c r="J95" i="1" s="1"/>
  <c r="M51" i="1"/>
  <c r="K51" i="1"/>
  <c r="L51" i="1" s="1"/>
  <c r="I51" i="1"/>
  <c r="J51" i="1" s="1"/>
  <c r="M105" i="1"/>
  <c r="K105" i="1"/>
  <c r="L105" i="1" s="1"/>
  <c r="I105" i="1"/>
  <c r="J105" i="1" s="1"/>
  <c r="M102" i="1"/>
  <c r="K102" i="1"/>
  <c r="L102" i="1" s="1"/>
  <c r="I102" i="1"/>
  <c r="J102" i="1" s="1"/>
  <c r="M104" i="1"/>
  <c r="K104" i="1"/>
  <c r="L104" i="1" s="1"/>
  <c r="I104" i="1"/>
  <c r="J104" i="1" s="1"/>
  <c r="M57" i="1"/>
  <c r="K57" i="1"/>
  <c r="L57" i="1" s="1"/>
  <c r="I57" i="1"/>
  <c r="J57" i="1" s="1"/>
  <c r="M133" i="1"/>
  <c r="K133" i="1"/>
  <c r="L133" i="1" s="1"/>
  <c r="I133" i="1"/>
  <c r="J133" i="1" s="1"/>
  <c r="M76" i="1"/>
  <c r="K76" i="1"/>
  <c r="L76" i="1" s="1"/>
  <c r="I76" i="1"/>
  <c r="J76" i="1" s="1"/>
  <c r="M130" i="1"/>
  <c r="K130" i="1"/>
  <c r="L130" i="1" s="1"/>
  <c r="I130" i="1"/>
  <c r="J130" i="1" s="1"/>
  <c r="M74" i="1"/>
  <c r="K74" i="1"/>
  <c r="L74" i="1" s="1"/>
  <c r="I74" i="1"/>
  <c r="J74" i="1" s="1"/>
  <c r="M112" i="1"/>
  <c r="K112" i="1"/>
  <c r="L112" i="1" s="1"/>
  <c r="I112" i="1"/>
  <c r="J112" i="1" s="1"/>
  <c r="M91" i="1"/>
  <c r="K91" i="1"/>
  <c r="L91" i="1" s="1"/>
  <c r="I91" i="1"/>
  <c r="J91" i="1" s="1"/>
  <c r="M37" i="1"/>
  <c r="K37" i="1"/>
  <c r="L37" i="1" s="1"/>
  <c r="I37" i="1"/>
  <c r="J37" i="1" s="1"/>
  <c r="M87" i="1"/>
  <c r="K87" i="1"/>
  <c r="L87" i="1" s="1"/>
  <c r="I87" i="1"/>
  <c r="J87" i="1" s="1"/>
  <c r="M31" i="1"/>
  <c r="K31" i="1"/>
  <c r="L31" i="1" s="1"/>
  <c r="I31" i="1"/>
  <c r="J31" i="1" s="1"/>
  <c r="M96" i="1"/>
  <c r="K96" i="1"/>
  <c r="L96" i="1" s="1"/>
  <c r="I96" i="1"/>
  <c r="J96" i="1" s="1"/>
  <c r="M77" i="1"/>
  <c r="K77" i="1"/>
  <c r="L77" i="1" s="1"/>
  <c r="I77" i="1"/>
  <c r="J77" i="1" s="1"/>
  <c r="M84" i="1"/>
  <c r="K84" i="1"/>
  <c r="L84" i="1" s="1"/>
  <c r="I84" i="1"/>
  <c r="J84" i="1" s="1"/>
  <c r="M79" i="1"/>
  <c r="K79" i="1"/>
  <c r="L79" i="1" s="1"/>
  <c r="I79" i="1"/>
  <c r="J79" i="1" s="1"/>
  <c r="M78" i="1"/>
  <c r="K78" i="1"/>
  <c r="L78" i="1" s="1"/>
  <c r="I78" i="1"/>
  <c r="J78" i="1" s="1"/>
  <c r="M97" i="1"/>
  <c r="K97" i="1"/>
  <c r="L97" i="1" s="1"/>
  <c r="I97" i="1"/>
  <c r="J97" i="1" s="1"/>
  <c r="M85" i="1"/>
  <c r="K85" i="1"/>
  <c r="L85" i="1" s="1"/>
  <c r="I85" i="1"/>
  <c r="J85" i="1" s="1"/>
  <c r="M93" i="1"/>
  <c r="K93" i="1"/>
  <c r="L93" i="1" s="1"/>
  <c r="I93" i="1"/>
  <c r="J93" i="1" s="1"/>
  <c r="M83" i="1"/>
  <c r="K83" i="1"/>
  <c r="L83" i="1" s="1"/>
  <c r="I83" i="1"/>
  <c r="J83" i="1" s="1"/>
  <c r="M110" i="1"/>
  <c r="K110" i="1"/>
  <c r="L110" i="1" s="1"/>
  <c r="I110" i="1"/>
  <c r="J110" i="1" s="1"/>
  <c r="M81" i="1"/>
  <c r="K81" i="1"/>
  <c r="L81" i="1" s="1"/>
  <c r="I81" i="1"/>
  <c r="J81" i="1" s="1"/>
  <c r="M80" i="1"/>
  <c r="K80" i="1"/>
  <c r="L80" i="1" s="1"/>
  <c r="I80" i="1"/>
  <c r="J80" i="1" s="1"/>
  <c r="M107" i="1"/>
  <c r="K107" i="1"/>
  <c r="L107" i="1" s="1"/>
  <c r="I107" i="1"/>
  <c r="J107" i="1" s="1"/>
  <c r="M75" i="1"/>
  <c r="K75" i="1"/>
  <c r="L75" i="1" s="1"/>
  <c r="I75" i="1"/>
  <c r="J75" i="1" s="1"/>
  <c r="M23" i="1"/>
  <c r="K23" i="1"/>
  <c r="L23" i="1" s="1"/>
  <c r="I23" i="1"/>
  <c r="J23" i="1" s="1"/>
  <c r="K86" i="1"/>
  <c r="L86" i="1" s="1"/>
  <c r="I86" i="1"/>
  <c r="J86" i="1" s="1"/>
</calcChain>
</file>

<file path=xl/sharedStrings.xml><?xml version="1.0" encoding="utf-8"?>
<sst xmlns="http://schemas.openxmlformats.org/spreadsheetml/2006/main" count="176" uniqueCount="176">
  <si>
    <t>Row Labels</t>
  </si>
  <si>
    <t>Gemeinde</t>
  </si>
  <si>
    <t>Schlatt</t>
  </si>
  <si>
    <t>Laufen-Uhwiesen</t>
  </si>
  <si>
    <t>Volken</t>
  </si>
  <si>
    <t>Hagenbuch</t>
  </si>
  <si>
    <t>Berg a.I.</t>
  </si>
  <si>
    <t>Maschwanden</t>
  </si>
  <si>
    <t>Trüllikon</t>
  </si>
  <si>
    <t>Schleinikon</t>
  </si>
  <si>
    <t>Thalheim a.d.Th.</t>
  </si>
  <si>
    <t>Adlikon</t>
  </si>
  <si>
    <t>Dägerlen</t>
  </si>
  <si>
    <t>Truttikon</t>
  </si>
  <si>
    <t>Humlikon</t>
  </si>
  <si>
    <t>Dättlikon</t>
  </si>
  <si>
    <t>Wasterkingen</t>
  </si>
  <si>
    <t>Kappel a.A.</t>
  </si>
  <si>
    <t>Stammheim</t>
  </si>
  <si>
    <t>Benken</t>
  </si>
  <si>
    <t>Wangen-Brüttisellen</t>
  </si>
  <si>
    <t>Altikon</t>
  </si>
  <si>
    <t>Dachsen</t>
  </si>
  <si>
    <t>Regensberg</t>
  </si>
  <si>
    <t>Fischenthal</t>
  </si>
  <si>
    <t>Hüttikon</t>
  </si>
  <si>
    <t>Kleinandelfingen</t>
  </si>
  <si>
    <t>Dürnten</t>
  </si>
  <si>
    <t>Oberembrach</t>
  </si>
  <si>
    <t>Ellikon a.d.Th.</t>
  </si>
  <si>
    <t>Oetwil a.d.L</t>
  </si>
  <si>
    <t>Lindau</t>
  </si>
  <si>
    <t>Buch a.I.</t>
  </si>
  <si>
    <t>Flurlingen</t>
  </si>
  <si>
    <t>Bachs</t>
  </si>
  <si>
    <t>Wildberg</t>
  </si>
  <si>
    <t>Greifensee</t>
  </si>
  <si>
    <t>Dorf</t>
  </si>
  <si>
    <t>Feuerthalen</t>
  </si>
  <si>
    <t>Nürensdorf</t>
  </si>
  <si>
    <t>Lufingen</t>
  </si>
  <si>
    <t>Bachenbülach</t>
  </si>
  <si>
    <t>Andelfingen</t>
  </si>
  <si>
    <t>Dietlikon</t>
  </si>
  <si>
    <t>Knonau</t>
  </si>
  <si>
    <t>Freienstein-Teufen</t>
  </si>
  <si>
    <t>Seegräben</t>
  </si>
  <si>
    <t>Rickenbach</t>
  </si>
  <si>
    <t>Oberglatt</t>
  </si>
  <si>
    <t>Ossingen</t>
  </si>
  <si>
    <t>Bonstetten</t>
  </si>
  <si>
    <t>Unterengstringen</t>
  </si>
  <si>
    <t>Boppelsen</t>
  </si>
  <si>
    <t>Grüningen</t>
  </si>
  <si>
    <t>Bauma</t>
  </si>
  <si>
    <t>Marthalen</t>
  </si>
  <si>
    <t>Schöfflisdorf</t>
  </si>
  <si>
    <t>Elgg</t>
  </si>
  <si>
    <t>Mönchaltorf</t>
  </si>
  <si>
    <t>Höri</t>
  </si>
  <si>
    <t>Hüntwangen</t>
  </si>
  <si>
    <t>Stallikon</t>
  </si>
  <si>
    <t>Schwerzenbach</t>
  </si>
  <si>
    <t>Gossau</t>
  </si>
  <si>
    <t>Dielsdorf</t>
  </si>
  <si>
    <t>Russikon</t>
  </si>
  <si>
    <t>Weiach</t>
  </si>
  <si>
    <t>Otelfingen</t>
  </si>
  <si>
    <t>Hochfelden</t>
  </si>
  <si>
    <t>Rorbas</t>
  </si>
  <si>
    <t>Dänikon</t>
  </si>
  <si>
    <t>Aeugst a.A.</t>
  </si>
  <si>
    <t>Buchs</t>
  </si>
  <si>
    <t>Rheinau</t>
  </si>
  <si>
    <t>Bubikon</t>
  </si>
  <si>
    <t>Wil</t>
  </si>
  <si>
    <t>Niederglatt</t>
  </si>
  <si>
    <t>Aesch</t>
  </si>
  <si>
    <t>Rifferswil</t>
  </si>
  <si>
    <t>Regensdorf</t>
  </si>
  <si>
    <t>Thalwil</t>
  </si>
  <si>
    <t>Uster</t>
  </si>
  <si>
    <t>Rümlang</t>
  </si>
  <si>
    <t>Brütten</t>
  </si>
  <si>
    <t>Bassersdorf</t>
  </si>
  <si>
    <t>Oberrieden</t>
  </si>
  <si>
    <t>Horgen</t>
  </si>
  <si>
    <t>Rüschlikon</t>
  </si>
  <si>
    <t>Oberengstringen</t>
  </si>
  <si>
    <t>Hausen a.A.</t>
  </si>
  <si>
    <t>Glattfelden</t>
  </si>
  <si>
    <t>Wädenswil</t>
  </si>
  <si>
    <t>Ottenbach</t>
  </si>
  <si>
    <t>Wila</t>
  </si>
  <si>
    <t>Männedorf</t>
  </si>
  <si>
    <t>Dinhard</t>
  </si>
  <si>
    <t>Kilchberg</t>
  </si>
  <si>
    <t>Langnau a.A.</t>
  </si>
  <si>
    <t>Flaach</t>
  </si>
  <si>
    <t>Opfikon</t>
  </si>
  <si>
    <t>Neerach</t>
  </si>
  <si>
    <t>Wetzikon</t>
  </si>
  <si>
    <t>Embrach</t>
  </si>
  <si>
    <t>Uitikon</t>
  </si>
  <si>
    <t>Erlenbach</t>
  </si>
  <si>
    <t>Fällanden</t>
  </si>
  <si>
    <t>Kloten</t>
  </si>
  <si>
    <t>Mettmenstetten</t>
  </si>
  <si>
    <t>Weisslingen</t>
  </si>
  <si>
    <t>Oetwil a.S.</t>
  </si>
  <si>
    <t>Urdorf</t>
  </si>
  <si>
    <t>Illnau-Effretikon</t>
  </si>
  <si>
    <t>Wettswil a.A.</t>
  </si>
  <si>
    <t>Richterswil</t>
  </si>
  <si>
    <t>Dällikon</t>
  </si>
  <si>
    <t>Wald</t>
  </si>
  <si>
    <t>Seuzach</t>
  </si>
  <si>
    <t>Pfäffikon</t>
  </si>
  <si>
    <t>Elsau</t>
  </si>
  <si>
    <t>Niederhasli</t>
  </si>
  <si>
    <t>Niederweningen</t>
  </si>
  <si>
    <t>Herrliberg</t>
  </si>
  <si>
    <t>Winkel</t>
  </si>
  <si>
    <t>Oberweningen</t>
  </si>
  <si>
    <t>Birmensdorf</t>
  </si>
  <si>
    <t>Dietikon</t>
  </si>
  <si>
    <t>Hombrechtikon</t>
  </si>
  <si>
    <t>Henggart</t>
  </si>
  <si>
    <t>Bäretswil</t>
  </si>
  <si>
    <t>Adliswil</t>
  </si>
  <si>
    <t>Hettlingen</t>
  </si>
  <si>
    <t>Obfelden</t>
  </si>
  <si>
    <t>Zürich</t>
  </si>
  <si>
    <t>Pfungen</t>
  </si>
  <si>
    <t>Küsnacht</t>
  </si>
  <si>
    <t>Hedingen</t>
  </si>
  <si>
    <t>Steinmaur</t>
  </si>
  <si>
    <t>Stadel</t>
  </si>
  <si>
    <t>Zollikon</t>
  </si>
  <si>
    <t>Schlieren</t>
  </si>
  <si>
    <t>Hinwil</t>
  </si>
  <si>
    <t>Affoltern a.A.</t>
  </si>
  <si>
    <t>Fehraltorf</t>
  </si>
  <si>
    <t>Zell</t>
  </si>
  <si>
    <t>Bülach</t>
  </si>
  <si>
    <t>Eglisau</t>
  </si>
  <si>
    <t>Winterthur</t>
  </si>
  <si>
    <t>Neftenbach</t>
  </si>
  <si>
    <t>Volketswil</t>
  </si>
  <si>
    <t>Uetikon a.S.</t>
  </si>
  <si>
    <t>Wiesendangen</t>
  </si>
  <si>
    <t>Dübendorf</t>
  </si>
  <si>
    <t>Hittnau</t>
  </si>
  <si>
    <t>Maur</t>
  </si>
  <si>
    <t>Stäfa</t>
  </si>
  <si>
    <t>Rafz</t>
  </si>
  <si>
    <t>Egg</t>
  </si>
  <si>
    <t>Zumikon</t>
  </si>
  <si>
    <t>Meilen</t>
  </si>
  <si>
    <t>Wallisellen</t>
  </si>
  <si>
    <t>Turbenthal</t>
  </si>
  <si>
    <t>Weiningen</t>
  </si>
  <si>
    <t>Geroldswil</t>
  </si>
  <si>
    <t>Rüti</t>
  </si>
  <si>
    <t>Breitengrad</t>
  </si>
  <si>
    <t>Sammelstellen</t>
  </si>
  <si>
    <t>MengeinTonnen</t>
  </si>
  <si>
    <t>SammelstellenproKopf</t>
  </si>
  <si>
    <t>Sammelstellenpro1000Personen</t>
  </si>
  <si>
    <t>MengeproKopfT</t>
  </si>
  <si>
    <t>MengeproKopfKG</t>
  </si>
  <si>
    <t>MengeproSammelstelle</t>
  </si>
  <si>
    <t>SiedlungsflaecheHA</t>
  </si>
  <si>
    <t>Einwohner</t>
  </si>
  <si>
    <t>SammelstellenproSiedlungsflaeche</t>
  </si>
  <si>
    <t>Laengengrad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</si>
</sst>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3"/>
  <sheetViews>
    <sheetView tabSelected="1" workbookViewId="0">
      <selection activeCell="A2" sqref="A2"/>
    </sheetView>
  </sheetViews>
  <sheetFormatPr baseColWidth="10" defaultRowHeight="14.5" x14ac:dyDescent="0.35"/>
  <cols>
    <col min="1" max="1" width="10.6328125" bestFit="1" customWidth="1"/>
    <col min="2" max="2" width="17.90625" bestFit="1" customWidth="1"/>
    <col min="3" max="5" width="17.90625" customWidth="1"/>
    <col min="7" max="7" width="19.26953125" bestFit="1" customWidth="1"/>
    <col min="8" max="8" width="16.7265625" bestFit="1" customWidth="1"/>
    <col min="9" max="9" width="22" bestFit="1" customWidth="1"/>
    <col min="10" max="10" width="30.1796875" bestFit="1" customWidth="1"/>
    <col min="11" max="12" width="18.81640625" customWidth="1"/>
    <col min="13" max="13" width="38.08984375" customWidth="1"/>
    <col min="14" max="14" width="31" bestFit="1" customWidth="1"/>
  </cols>
  <sheetData>
    <row r="1" spans="1:14" x14ac:dyDescent="0.35">
      <c r="A1" t="s">
        <v>0</v>
      </c>
      <c r="B1" t="s">
        <v>1</v>
      </c>
      <c r="C1" t="s">
        <v>175</v>
      </c>
      <c r="D1" t="s">
        <v>164</v>
      </c>
      <c r="E1" t="s">
        <v>172</v>
      </c>
      <c r="F1" t="s">
        <v>173</v>
      </c>
      <c r="G1" t="s">
        <v>165</v>
      </c>
      <c r="H1" t="s">
        <v>166</v>
      </c>
      <c r="I1" t="s">
        <v>167</v>
      </c>
      <c r="J1" t="s">
        <v>168</v>
      </c>
      <c r="K1" t="s">
        <v>169</v>
      </c>
      <c r="L1" t="s">
        <v>170</v>
      </c>
      <c r="M1" t="s">
        <v>171</v>
      </c>
      <c r="N1" t="s">
        <v>174</v>
      </c>
    </row>
    <row r="2" spans="1:14" x14ac:dyDescent="0.35">
      <c r="A2">
        <v>69</v>
      </c>
      <c r="B2" t="s">
        <v>159</v>
      </c>
      <c r="C2">
        <v>47.417999999999999</v>
      </c>
      <c r="D2">
        <v>8.5931999999999995</v>
      </c>
      <c r="E2">
        <v>232.84500000000003</v>
      </c>
      <c r="F2">
        <v>17171</v>
      </c>
      <c r="G2">
        <v>6</v>
      </c>
      <c r="H2">
        <v>817</v>
      </c>
      <c r="I2">
        <f t="shared" ref="I2:I33" si="0">G2/F2</f>
        <v>3.4942635839496828E-4</v>
      </c>
      <c r="J2">
        <f t="shared" ref="J2:J33" si="1">I2*1000</f>
        <v>0.34942635839496827</v>
      </c>
      <c r="K2">
        <f>H2/F2</f>
        <v>4.7580222468114844E-2</v>
      </c>
      <c r="L2">
        <f t="shared" ref="L2:L33" si="2">K2*1000</f>
        <v>47.580222468114847</v>
      </c>
      <c r="M2">
        <f>H2/G2</f>
        <v>136.16666666666666</v>
      </c>
      <c r="N2">
        <f>G2/E2</f>
        <v>2.5768214906912321E-2</v>
      </c>
    </row>
    <row r="3" spans="1:14" x14ac:dyDescent="0.35">
      <c r="A3">
        <v>2</v>
      </c>
      <c r="B3" t="s">
        <v>141</v>
      </c>
      <c r="C3">
        <v>47.2791</v>
      </c>
      <c r="D3">
        <v>8.4648000000000003</v>
      </c>
      <c r="E3">
        <v>239.03099999999998</v>
      </c>
      <c r="F3">
        <v>12246</v>
      </c>
      <c r="G3">
        <v>6</v>
      </c>
      <c r="H3">
        <v>499</v>
      </c>
      <c r="I3">
        <f t="shared" si="0"/>
        <v>4.8995590396864281E-4</v>
      </c>
      <c r="J3">
        <f t="shared" si="1"/>
        <v>0.4899559039686428</v>
      </c>
      <c r="K3">
        <f>H3/F3</f>
        <v>4.0747999346725461E-2</v>
      </c>
      <c r="L3">
        <f t="shared" si="2"/>
        <v>40.747999346725464</v>
      </c>
      <c r="M3">
        <f>H3/G3</f>
        <v>83.166666666666671</v>
      </c>
      <c r="N3">
        <f>G3/E3</f>
        <v>2.5101346687249775E-2</v>
      </c>
    </row>
    <row r="4" spans="1:14" x14ac:dyDescent="0.35">
      <c r="A4">
        <v>138</v>
      </c>
      <c r="B4" t="s">
        <v>113</v>
      </c>
      <c r="C4">
        <v>47.202100000000002</v>
      </c>
      <c r="D4">
        <v>8.6878200000000003</v>
      </c>
      <c r="E4">
        <v>241.28</v>
      </c>
      <c r="F4">
        <v>13647</v>
      </c>
      <c r="G4">
        <v>7</v>
      </c>
      <c r="H4">
        <v>447</v>
      </c>
      <c r="I4">
        <f t="shared" si="0"/>
        <v>5.1293324540191984E-4</v>
      </c>
      <c r="J4">
        <f t="shared" si="1"/>
        <v>0.51293324540191987</v>
      </c>
      <c r="K4">
        <f>H4/F4</f>
        <v>3.2754451527808308E-2</v>
      </c>
      <c r="L4">
        <f t="shared" si="2"/>
        <v>32.754451527808307</v>
      </c>
      <c r="M4">
        <f>H4/G4</f>
        <v>63.857142857142854</v>
      </c>
      <c r="N4">
        <f>G4/E4</f>
        <v>2.9011936339522548E-2</v>
      </c>
    </row>
    <row r="5" spans="1:14" x14ac:dyDescent="0.35">
      <c r="A5">
        <v>66</v>
      </c>
      <c r="B5" t="s">
        <v>99</v>
      </c>
      <c r="C5">
        <v>47.4315</v>
      </c>
      <c r="D5">
        <v>8.5730500000000003</v>
      </c>
      <c r="E5">
        <v>249.2</v>
      </c>
      <c r="F5">
        <v>20905</v>
      </c>
      <c r="G5">
        <v>7</v>
      </c>
      <c r="H5">
        <v>403</v>
      </c>
      <c r="I5">
        <f t="shared" si="0"/>
        <v>3.3484812245874193E-4</v>
      </c>
      <c r="J5">
        <f t="shared" si="1"/>
        <v>0.33484812245874196</v>
      </c>
      <c r="K5">
        <f>H5/F5</f>
        <v>1.9277684764410427E-2</v>
      </c>
      <c r="L5">
        <f t="shared" si="2"/>
        <v>19.277684764410427</v>
      </c>
      <c r="M5">
        <f>H5/G5</f>
        <v>57.571428571428569</v>
      </c>
      <c r="N5">
        <f>G5/E5</f>
        <v>2.8089887640449441E-2</v>
      </c>
    </row>
    <row r="6" spans="1:14" x14ac:dyDescent="0.35">
      <c r="A6">
        <v>141</v>
      </c>
      <c r="B6" t="s">
        <v>80</v>
      </c>
      <c r="C6">
        <v>47.290900000000001</v>
      </c>
      <c r="D6">
        <v>8.5662000000000003</v>
      </c>
      <c r="E6">
        <v>255.024</v>
      </c>
      <c r="F6">
        <v>18263</v>
      </c>
      <c r="G6">
        <v>11</v>
      </c>
      <c r="H6">
        <v>546</v>
      </c>
      <c r="I6">
        <f t="shared" si="0"/>
        <v>6.0231068280129228E-4</v>
      </c>
      <c r="J6">
        <f t="shared" si="1"/>
        <v>0.6023106828012923</v>
      </c>
      <c r="K6">
        <f>H6/F6</f>
        <v>2.9896512073591414E-2</v>
      </c>
      <c r="L6">
        <f t="shared" si="2"/>
        <v>29.896512073591413</v>
      </c>
      <c r="M6">
        <f>H6/G6</f>
        <v>49.636363636363633</v>
      </c>
      <c r="N6">
        <f>G6/E6</f>
        <v>4.3133195307108352E-2</v>
      </c>
    </row>
    <row r="7" spans="1:14" x14ac:dyDescent="0.35">
      <c r="A7">
        <v>161</v>
      </c>
      <c r="B7" t="s">
        <v>138</v>
      </c>
      <c r="C7">
        <v>47.3446</v>
      </c>
      <c r="D7">
        <v>8.5958699999999997</v>
      </c>
      <c r="E7">
        <v>274.75</v>
      </c>
      <c r="F7">
        <v>13293</v>
      </c>
      <c r="G7">
        <v>6</v>
      </c>
      <c r="H7">
        <v>480</v>
      </c>
      <c r="I7">
        <f t="shared" si="0"/>
        <v>4.5136538027533288E-4</v>
      </c>
      <c r="J7">
        <f t="shared" si="1"/>
        <v>0.45136538027533291</v>
      </c>
      <c r="K7">
        <f>H7/F7</f>
        <v>3.6109230422026628E-2</v>
      </c>
      <c r="L7">
        <f t="shared" si="2"/>
        <v>36.109230422026627</v>
      </c>
      <c r="M7">
        <f>H7/G7</f>
        <v>80</v>
      </c>
      <c r="N7">
        <f>G7/E7</f>
        <v>2.1838034576888082E-2</v>
      </c>
    </row>
    <row r="8" spans="1:14" x14ac:dyDescent="0.35">
      <c r="A8">
        <v>177</v>
      </c>
      <c r="B8" t="s">
        <v>117</v>
      </c>
      <c r="C8">
        <v>47.368000000000002</v>
      </c>
      <c r="D8">
        <v>8.7865000000000002</v>
      </c>
      <c r="E8">
        <v>276.47399999999999</v>
      </c>
      <c r="F8">
        <v>12180</v>
      </c>
      <c r="G8">
        <v>6</v>
      </c>
      <c r="H8">
        <v>388</v>
      </c>
      <c r="I8">
        <f t="shared" si="0"/>
        <v>4.9261083743842361E-4</v>
      </c>
      <c r="J8">
        <f t="shared" si="1"/>
        <v>0.4926108374384236</v>
      </c>
      <c r="K8">
        <f>H8/F8</f>
        <v>3.1855500821018061E-2</v>
      </c>
      <c r="L8">
        <f t="shared" si="2"/>
        <v>31.855500821018062</v>
      </c>
      <c r="M8">
        <f>H8/G8</f>
        <v>64.666666666666671</v>
      </c>
      <c r="N8">
        <f>G8/E8</f>
        <v>2.1701859849389094E-2</v>
      </c>
    </row>
    <row r="9" spans="1:14" x14ac:dyDescent="0.35">
      <c r="A9">
        <v>158</v>
      </c>
      <c r="B9" t="s">
        <v>154</v>
      </c>
      <c r="C9">
        <v>47.249099999999999</v>
      </c>
      <c r="D9">
        <v>8.7287999999999997</v>
      </c>
      <c r="E9">
        <v>278.96399999999994</v>
      </c>
      <c r="F9">
        <v>14782</v>
      </c>
      <c r="G9">
        <v>4</v>
      </c>
      <c r="H9">
        <v>449</v>
      </c>
      <c r="I9">
        <f t="shared" si="0"/>
        <v>2.7059937762143147E-4</v>
      </c>
      <c r="J9">
        <f t="shared" si="1"/>
        <v>0.27059937762143149</v>
      </c>
      <c r="K9">
        <f>H9/F9</f>
        <v>3.0374780138005684E-2</v>
      </c>
      <c r="L9">
        <f t="shared" si="2"/>
        <v>30.374780138005683</v>
      </c>
      <c r="M9">
        <f>H9/G9</f>
        <v>112.25</v>
      </c>
      <c r="N9">
        <f>G9/E9</f>
        <v>1.4338767726301604E-2</v>
      </c>
    </row>
    <row r="10" spans="1:14" x14ac:dyDescent="0.35">
      <c r="A10">
        <v>247</v>
      </c>
      <c r="B10" t="s">
        <v>139</v>
      </c>
      <c r="C10">
        <v>47.393999999999998</v>
      </c>
      <c r="D10">
        <v>8.4482999999999997</v>
      </c>
      <c r="E10">
        <v>281.22000000000003</v>
      </c>
      <c r="F10">
        <v>19872</v>
      </c>
      <c r="G10">
        <v>8</v>
      </c>
      <c r="H10">
        <v>647</v>
      </c>
      <c r="I10">
        <f t="shared" si="0"/>
        <v>4.0257648953301127E-4</v>
      </c>
      <c r="J10">
        <f t="shared" si="1"/>
        <v>0.40257648953301128</v>
      </c>
      <c r="K10">
        <f>H10/F10</f>
        <v>3.2558373590982286E-2</v>
      </c>
      <c r="L10">
        <f t="shared" si="2"/>
        <v>32.558373590982285</v>
      </c>
      <c r="M10">
        <f>H10/G10</f>
        <v>80.875</v>
      </c>
      <c r="N10">
        <f>G10/E10</f>
        <v>2.844747884218761E-2</v>
      </c>
    </row>
    <row r="11" spans="1:14" x14ac:dyDescent="0.35">
      <c r="A11">
        <v>131</v>
      </c>
      <c r="B11" t="s">
        <v>129</v>
      </c>
      <c r="C11">
        <v>47.310699999999997</v>
      </c>
      <c r="D11">
        <v>8.5224200000000003</v>
      </c>
      <c r="E11">
        <v>287.86</v>
      </c>
      <c r="F11">
        <v>19004</v>
      </c>
      <c r="G11">
        <v>8</v>
      </c>
      <c r="H11">
        <v>584</v>
      </c>
      <c r="I11">
        <f t="shared" si="0"/>
        <v>4.2096400757735212E-4</v>
      </c>
      <c r="J11">
        <f t="shared" si="1"/>
        <v>0.42096400757735214</v>
      </c>
      <c r="K11">
        <f>H11/F11</f>
        <v>3.0730372553146704E-2</v>
      </c>
      <c r="L11">
        <f t="shared" si="2"/>
        <v>30.730372553146704</v>
      </c>
      <c r="M11">
        <f>H11/G11</f>
        <v>73</v>
      </c>
      <c r="N11">
        <f>G11/E11</f>
        <v>2.7791287431390258E-2</v>
      </c>
    </row>
    <row r="12" spans="1:14" x14ac:dyDescent="0.35">
      <c r="A12">
        <v>156</v>
      </c>
      <c r="B12" t="s">
        <v>158</v>
      </c>
      <c r="C12">
        <v>47.280999999999999</v>
      </c>
      <c r="D12">
        <v>8.6535899999999994</v>
      </c>
      <c r="E12">
        <v>288.68400000000003</v>
      </c>
      <c r="F12">
        <v>14525</v>
      </c>
      <c r="G12">
        <v>5</v>
      </c>
      <c r="H12">
        <v>613</v>
      </c>
      <c r="I12">
        <f t="shared" si="0"/>
        <v>3.4423407917383823E-4</v>
      </c>
      <c r="J12">
        <f t="shared" si="1"/>
        <v>0.34423407917383825</v>
      </c>
      <c r="K12">
        <f>H12/F12</f>
        <v>4.2203098106712564E-2</v>
      </c>
      <c r="L12">
        <f t="shared" si="2"/>
        <v>42.203098106712567</v>
      </c>
      <c r="M12">
        <f>H12/G12</f>
        <v>122.6</v>
      </c>
      <c r="N12">
        <f>G12/E12</f>
        <v>1.7319976167712792E-2</v>
      </c>
    </row>
    <row r="13" spans="1:14" x14ac:dyDescent="0.35">
      <c r="A13">
        <v>117</v>
      </c>
      <c r="B13" t="s">
        <v>140</v>
      </c>
      <c r="C13">
        <v>47.302799999999998</v>
      </c>
      <c r="D13">
        <v>8.8539100000000008</v>
      </c>
      <c r="E13">
        <v>305.09899999999999</v>
      </c>
      <c r="F13">
        <v>11344</v>
      </c>
      <c r="G13">
        <v>7</v>
      </c>
      <c r="H13">
        <v>572</v>
      </c>
      <c r="I13">
        <f t="shared" si="0"/>
        <v>6.1706629055007054E-4</v>
      </c>
      <c r="J13">
        <f t="shared" si="1"/>
        <v>0.61706629055007056</v>
      </c>
      <c r="K13">
        <f>H13/F13</f>
        <v>5.0423131170662903E-2</v>
      </c>
      <c r="L13">
        <f t="shared" si="2"/>
        <v>50.423131170662906</v>
      </c>
      <c r="M13">
        <f>H13/G13</f>
        <v>81.714285714285708</v>
      </c>
      <c r="N13">
        <f>G13/E13</f>
        <v>2.294337247909695E-2</v>
      </c>
    </row>
    <row r="14" spans="1:14" x14ac:dyDescent="0.35">
      <c r="A14">
        <v>296</v>
      </c>
      <c r="B14" t="s">
        <v>111</v>
      </c>
      <c r="C14">
        <v>47.424399999999999</v>
      </c>
      <c r="D14">
        <v>8.7172000000000001</v>
      </c>
      <c r="E14">
        <v>332.39099999999996</v>
      </c>
      <c r="F14">
        <v>17345</v>
      </c>
      <c r="G14">
        <v>8</v>
      </c>
      <c r="H14">
        <v>504</v>
      </c>
      <c r="I14">
        <f t="shared" si="0"/>
        <v>4.6122801960219085E-4</v>
      </c>
      <c r="J14">
        <f t="shared" si="1"/>
        <v>0.46122801960219084</v>
      </c>
      <c r="K14">
        <f>H14/F14</f>
        <v>2.9057365234938022E-2</v>
      </c>
      <c r="L14">
        <f t="shared" si="2"/>
        <v>29.057365234938022</v>
      </c>
      <c r="M14">
        <f>H14/G14</f>
        <v>63</v>
      </c>
      <c r="N14">
        <f>G14/E14</f>
        <v>2.4068040350069649E-2</v>
      </c>
    </row>
    <row r="15" spans="1:14" x14ac:dyDescent="0.35">
      <c r="A15">
        <v>62</v>
      </c>
      <c r="B15" t="s">
        <v>106</v>
      </c>
      <c r="C15">
        <v>47.461199999999998</v>
      </c>
      <c r="D15">
        <v>8.5983000000000001</v>
      </c>
      <c r="E15">
        <v>336.34199999999993</v>
      </c>
      <c r="F15">
        <v>20365</v>
      </c>
      <c r="G15">
        <v>9</v>
      </c>
      <c r="H15">
        <v>561</v>
      </c>
      <c r="I15">
        <f t="shared" si="0"/>
        <v>4.4193469187331206E-4</v>
      </c>
      <c r="J15">
        <f t="shared" si="1"/>
        <v>0.44193469187331208</v>
      </c>
      <c r="K15">
        <f>H15/F15</f>
        <v>2.7547262460103118E-2</v>
      </c>
      <c r="L15">
        <f t="shared" si="2"/>
        <v>27.54726246010312</v>
      </c>
      <c r="M15">
        <f>H15/G15</f>
        <v>62.333333333333336</v>
      </c>
      <c r="N15">
        <f>G15/E15</f>
        <v>2.6758477977772629E-2</v>
      </c>
    </row>
    <row r="16" spans="1:14" x14ac:dyDescent="0.35">
      <c r="A16">
        <v>243</v>
      </c>
      <c r="B16" t="s">
        <v>125</v>
      </c>
      <c r="C16">
        <v>47.403399999999998</v>
      </c>
      <c r="D16">
        <v>8.3993400000000005</v>
      </c>
      <c r="E16">
        <v>336.86399999999998</v>
      </c>
      <c r="F16">
        <v>28028</v>
      </c>
      <c r="G16">
        <v>9</v>
      </c>
      <c r="H16">
        <v>630</v>
      </c>
      <c r="I16">
        <f t="shared" si="0"/>
        <v>3.2110746396460681E-4</v>
      </c>
      <c r="J16">
        <f t="shared" si="1"/>
        <v>0.32110746396460682</v>
      </c>
      <c r="K16">
        <f>H16/F16</f>
        <v>2.2477522477522476E-2</v>
      </c>
      <c r="L16">
        <f t="shared" si="2"/>
        <v>22.477522477522477</v>
      </c>
      <c r="M16">
        <f>H16/G16</f>
        <v>70</v>
      </c>
      <c r="N16">
        <f>G16/E16</f>
        <v>2.6717013394129383E-2</v>
      </c>
    </row>
    <row r="17" spans="1:14" x14ac:dyDescent="0.35">
      <c r="A17">
        <v>53</v>
      </c>
      <c r="B17" t="s">
        <v>144</v>
      </c>
      <c r="C17">
        <v>47.529499999999999</v>
      </c>
      <c r="D17">
        <v>8.5418500000000002</v>
      </c>
      <c r="E17">
        <v>345.28999999999996</v>
      </c>
      <c r="F17">
        <v>21973</v>
      </c>
      <c r="G17">
        <v>7</v>
      </c>
      <c r="H17">
        <v>616</v>
      </c>
      <c r="I17">
        <f t="shared" si="0"/>
        <v>3.1857279388340236E-4</v>
      </c>
      <c r="J17">
        <f t="shared" si="1"/>
        <v>0.31857279388340237</v>
      </c>
      <c r="K17">
        <f>H17/F17</f>
        <v>2.8034405861739407E-2</v>
      </c>
      <c r="L17">
        <f t="shared" si="2"/>
        <v>28.034405861739408</v>
      </c>
      <c r="M17">
        <f>H17/G17</f>
        <v>88</v>
      </c>
      <c r="N17">
        <f>G17/E17</f>
        <v>2.0272814156216516E-2</v>
      </c>
    </row>
    <row r="18" spans="1:14" x14ac:dyDescent="0.35">
      <c r="A18">
        <v>154</v>
      </c>
      <c r="B18" t="s">
        <v>134</v>
      </c>
      <c r="C18">
        <v>47.321100000000001</v>
      </c>
      <c r="D18">
        <v>8.6133799999999994</v>
      </c>
      <c r="E18">
        <v>353.584</v>
      </c>
      <c r="F18">
        <v>14806</v>
      </c>
      <c r="G18">
        <v>6</v>
      </c>
      <c r="H18">
        <v>461</v>
      </c>
      <c r="I18">
        <f t="shared" si="0"/>
        <v>4.0524111846548696E-4</v>
      </c>
      <c r="J18">
        <f t="shared" si="1"/>
        <v>0.40524111846548694</v>
      </c>
      <c r="K18">
        <f>H18/F18</f>
        <v>3.1136025935431581E-2</v>
      </c>
      <c r="L18">
        <f t="shared" si="2"/>
        <v>31.136025935431579</v>
      </c>
      <c r="M18">
        <f>H18/G18</f>
        <v>76.833333333333329</v>
      </c>
      <c r="N18">
        <f>G18/E18</f>
        <v>1.6969093624145889E-2</v>
      </c>
    </row>
    <row r="19" spans="1:14" x14ac:dyDescent="0.35">
      <c r="A19">
        <v>96</v>
      </c>
      <c r="B19" t="s">
        <v>79</v>
      </c>
      <c r="C19">
        <v>47.441200000000002</v>
      </c>
      <c r="D19">
        <v>8.4724199999999996</v>
      </c>
      <c r="E19">
        <v>369.38</v>
      </c>
      <c r="F19">
        <v>18551</v>
      </c>
      <c r="G19">
        <v>6</v>
      </c>
      <c r="H19">
        <v>295</v>
      </c>
      <c r="I19">
        <f t="shared" si="0"/>
        <v>3.2343269904587356E-4</v>
      </c>
      <c r="J19">
        <f t="shared" si="1"/>
        <v>0.32343269904587357</v>
      </c>
      <c r="K19">
        <f>H19/F19</f>
        <v>1.5902107703088784E-2</v>
      </c>
      <c r="L19">
        <f t="shared" si="2"/>
        <v>15.902107703088785</v>
      </c>
      <c r="M19">
        <f>H19/G19</f>
        <v>49.166666666666664</v>
      </c>
      <c r="N19">
        <f>G19/E19</f>
        <v>1.6243434945043045E-2</v>
      </c>
    </row>
    <row r="20" spans="1:14" x14ac:dyDescent="0.35">
      <c r="A20">
        <v>295</v>
      </c>
      <c r="B20" t="s">
        <v>86</v>
      </c>
      <c r="C20">
        <v>47.2667</v>
      </c>
      <c r="D20">
        <v>8.5832999999999995</v>
      </c>
      <c r="E20">
        <v>385.5</v>
      </c>
      <c r="F20">
        <v>23073</v>
      </c>
      <c r="G20">
        <v>12</v>
      </c>
      <c r="H20">
        <v>622</v>
      </c>
      <c r="I20">
        <f t="shared" si="0"/>
        <v>5.2008841503055521E-4</v>
      </c>
      <c r="J20">
        <f t="shared" si="1"/>
        <v>0.52008841503055525</v>
      </c>
      <c r="K20">
        <f>H20/F20</f>
        <v>2.6957916179083777E-2</v>
      </c>
      <c r="L20">
        <f t="shared" si="2"/>
        <v>26.957916179083778</v>
      </c>
      <c r="M20">
        <f>H20/G20</f>
        <v>51.833333333333336</v>
      </c>
      <c r="N20">
        <f>G20/E20</f>
        <v>3.1128404669260701E-2</v>
      </c>
    </row>
    <row r="21" spans="1:14" x14ac:dyDescent="0.35">
      <c r="A21">
        <v>199</v>
      </c>
      <c r="B21" t="s">
        <v>148</v>
      </c>
      <c r="C21">
        <v>47.393900000000002</v>
      </c>
      <c r="D21">
        <v>8.6906599999999994</v>
      </c>
      <c r="E21">
        <v>392.56</v>
      </c>
      <c r="F21">
        <v>18851</v>
      </c>
      <c r="G21">
        <v>7</v>
      </c>
      <c r="H21">
        <v>673</v>
      </c>
      <c r="I21">
        <f t="shared" si="0"/>
        <v>3.713330857779428E-4</v>
      </c>
      <c r="J21">
        <f t="shared" si="1"/>
        <v>0.37133308577794283</v>
      </c>
      <c r="K21">
        <f>H21/F21</f>
        <v>3.5701023818365075E-2</v>
      </c>
      <c r="L21">
        <f t="shared" si="2"/>
        <v>35.701023818365073</v>
      </c>
      <c r="M21">
        <f>H21/G21</f>
        <v>96.142857142857139</v>
      </c>
      <c r="N21">
        <f>G21/E21</f>
        <v>1.783166904422254E-2</v>
      </c>
    </row>
    <row r="22" spans="1:14" x14ac:dyDescent="0.35">
      <c r="A22">
        <v>191</v>
      </c>
      <c r="B22" t="s">
        <v>151</v>
      </c>
      <c r="C22">
        <v>47.397147599999997</v>
      </c>
      <c r="D22">
        <v>8.6180128000000007</v>
      </c>
      <c r="E22">
        <v>445.37400000000002</v>
      </c>
      <c r="F22">
        <v>29854</v>
      </c>
      <c r="G22">
        <v>6</v>
      </c>
      <c r="H22">
        <v>634</v>
      </c>
      <c r="I22">
        <f t="shared" si="0"/>
        <v>2.0097809338782074E-4</v>
      </c>
      <c r="J22">
        <f t="shared" si="1"/>
        <v>0.20097809338782074</v>
      </c>
      <c r="K22">
        <f>H22/F22</f>
        <v>2.1236685201313058E-2</v>
      </c>
      <c r="L22">
        <f t="shared" si="2"/>
        <v>21.236685201313058</v>
      </c>
      <c r="M22">
        <f>H22/G22</f>
        <v>105.66666666666667</v>
      </c>
      <c r="N22">
        <f>G22/E22</f>
        <v>1.3471823680771666E-2</v>
      </c>
    </row>
    <row r="23" spans="1:14" x14ac:dyDescent="0.35">
      <c r="A23">
        <v>34</v>
      </c>
      <c r="B23" t="s">
        <v>3</v>
      </c>
      <c r="C23">
        <v>47.671700000000001</v>
      </c>
      <c r="D23">
        <v>8.6447500000000002</v>
      </c>
      <c r="E23">
        <v>59.755000000000003</v>
      </c>
      <c r="F23">
        <v>1780</v>
      </c>
      <c r="G23">
        <v>9</v>
      </c>
      <c r="H23">
        <v>61</v>
      </c>
      <c r="I23">
        <f t="shared" si="0"/>
        <v>5.0561797752808986E-3</v>
      </c>
      <c r="J23">
        <f t="shared" si="1"/>
        <v>5.0561797752808983</v>
      </c>
      <c r="K23">
        <f>H23/F23</f>
        <v>3.4269662921348316E-2</v>
      </c>
      <c r="L23">
        <f t="shared" si="2"/>
        <v>34.269662921348313</v>
      </c>
      <c r="M23">
        <f>H23/G23</f>
        <v>6.7777777777777777</v>
      </c>
      <c r="N23">
        <f>G23/E23</f>
        <v>0.15061501129612584</v>
      </c>
    </row>
    <row r="24" spans="1:14" x14ac:dyDescent="0.35">
      <c r="A24">
        <v>194</v>
      </c>
      <c r="B24" t="s">
        <v>36</v>
      </c>
      <c r="C24">
        <v>47.366399999999999</v>
      </c>
      <c r="D24">
        <v>8.6788900000000009</v>
      </c>
      <c r="E24">
        <v>91.935000000000002</v>
      </c>
      <c r="F24">
        <v>5302</v>
      </c>
      <c r="G24">
        <v>5</v>
      </c>
      <c r="H24">
        <v>132</v>
      </c>
      <c r="I24">
        <f t="shared" si="0"/>
        <v>9.4304036212749902E-4</v>
      </c>
      <c r="J24">
        <f t="shared" si="1"/>
        <v>0.94304036212749898</v>
      </c>
      <c r="K24">
        <f>H24/F24</f>
        <v>2.4896265560165973E-2</v>
      </c>
      <c r="L24">
        <f t="shared" si="2"/>
        <v>24.896265560165972</v>
      </c>
      <c r="M24">
        <f>H24/G24</f>
        <v>26.4</v>
      </c>
      <c r="N24">
        <f>G24/E24</f>
        <v>5.4386251155707839E-2</v>
      </c>
    </row>
    <row r="25" spans="1:14" x14ac:dyDescent="0.35">
      <c r="A25">
        <v>3</v>
      </c>
      <c r="B25" t="s">
        <v>50</v>
      </c>
      <c r="C25">
        <v>47.317999999999998</v>
      </c>
      <c r="D25">
        <v>8.4673599999999993</v>
      </c>
      <c r="E25">
        <v>93.744</v>
      </c>
      <c r="F25">
        <v>5610</v>
      </c>
      <c r="G25">
        <v>5</v>
      </c>
      <c r="H25">
        <v>161</v>
      </c>
      <c r="I25">
        <f t="shared" si="0"/>
        <v>8.9126559714795004E-4</v>
      </c>
      <c r="J25">
        <f t="shared" si="1"/>
        <v>0.89126559714795006</v>
      </c>
      <c r="K25">
        <f>H25/F25</f>
        <v>2.8698752228163992E-2</v>
      </c>
      <c r="L25">
        <f t="shared" si="2"/>
        <v>28.698752228163993</v>
      </c>
      <c r="M25">
        <f>H25/G25</f>
        <v>32.200000000000003</v>
      </c>
      <c r="N25">
        <f>G25/E25</f>
        <v>5.3336746885133984E-2</v>
      </c>
    </row>
    <row r="26" spans="1:14" x14ac:dyDescent="0.35">
      <c r="A26">
        <v>245</v>
      </c>
      <c r="B26" t="s">
        <v>88</v>
      </c>
      <c r="C26">
        <v>47.4116</v>
      </c>
      <c r="D26">
        <v>8.4671000000000003</v>
      </c>
      <c r="E26">
        <v>93.932999999999993</v>
      </c>
      <c r="F26">
        <v>6724</v>
      </c>
      <c r="G26">
        <v>3</v>
      </c>
      <c r="H26">
        <v>158</v>
      </c>
      <c r="I26">
        <f t="shared" si="0"/>
        <v>4.46162998215348E-4</v>
      </c>
      <c r="J26">
        <f t="shared" si="1"/>
        <v>0.44616299821534799</v>
      </c>
      <c r="K26">
        <f>H26/F26</f>
        <v>2.3497917906008327E-2</v>
      </c>
      <c r="L26">
        <f t="shared" si="2"/>
        <v>23.497917906008329</v>
      </c>
      <c r="M26">
        <f>H26/G26</f>
        <v>52.666666666666664</v>
      </c>
      <c r="N26">
        <f>G26/E26</f>
        <v>3.1937657692184859E-2</v>
      </c>
    </row>
    <row r="27" spans="1:14" x14ac:dyDescent="0.35">
      <c r="A27">
        <v>249</v>
      </c>
      <c r="B27" t="s">
        <v>51</v>
      </c>
      <c r="C27">
        <v>47.411099999999998</v>
      </c>
      <c r="D27">
        <v>8.4382400000000004</v>
      </c>
      <c r="E27">
        <v>104.16</v>
      </c>
      <c r="F27">
        <v>3982</v>
      </c>
      <c r="G27">
        <v>4</v>
      </c>
      <c r="H27">
        <v>129</v>
      </c>
      <c r="I27">
        <f t="shared" si="0"/>
        <v>1.0045203415369162E-3</v>
      </c>
      <c r="J27">
        <f t="shared" si="1"/>
        <v>1.0045203415369162</v>
      </c>
      <c r="K27">
        <f>H27/F27</f>
        <v>3.2395781014565542E-2</v>
      </c>
      <c r="L27">
        <f t="shared" si="2"/>
        <v>32.395781014565543</v>
      </c>
      <c r="M27">
        <f>H27/G27</f>
        <v>32.25</v>
      </c>
      <c r="N27">
        <f>G27/E27</f>
        <v>3.840245775729647E-2</v>
      </c>
    </row>
    <row r="28" spans="1:14" x14ac:dyDescent="0.35">
      <c r="A28">
        <v>83</v>
      </c>
      <c r="B28" t="s">
        <v>72</v>
      </c>
      <c r="C28">
        <v>47.4602</v>
      </c>
      <c r="D28">
        <v>8.4384099999999993</v>
      </c>
      <c r="E28">
        <v>115.05200000000001</v>
      </c>
      <c r="F28">
        <v>6554</v>
      </c>
      <c r="G28">
        <v>4</v>
      </c>
      <c r="H28">
        <v>179</v>
      </c>
      <c r="I28">
        <f t="shared" si="0"/>
        <v>6.1031431187061336E-4</v>
      </c>
      <c r="J28">
        <f t="shared" si="1"/>
        <v>0.61031431187061336</v>
      </c>
      <c r="K28">
        <f>H28/F28</f>
        <v>2.7311565456209948E-2</v>
      </c>
      <c r="L28">
        <f t="shared" si="2"/>
        <v>27.311565456209948</v>
      </c>
      <c r="M28">
        <f>H28/G28</f>
        <v>44.75</v>
      </c>
      <c r="N28">
        <f>G28/E28</f>
        <v>3.4766888015853696E-2</v>
      </c>
    </row>
    <row r="29" spans="1:14" x14ac:dyDescent="0.35">
      <c r="A29">
        <v>92</v>
      </c>
      <c r="B29" t="s">
        <v>48</v>
      </c>
      <c r="C29">
        <v>47.479799999999997</v>
      </c>
      <c r="D29">
        <v>8.5252400000000002</v>
      </c>
      <c r="E29">
        <v>115.64</v>
      </c>
      <c r="F29">
        <v>7361</v>
      </c>
      <c r="G29">
        <v>5</v>
      </c>
      <c r="H29">
        <v>156</v>
      </c>
      <c r="I29">
        <f t="shared" si="0"/>
        <v>6.7925553593261787E-4</v>
      </c>
      <c r="J29">
        <f t="shared" si="1"/>
        <v>0.67925553593261789</v>
      </c>
      <c r="K29">
        <f>H29/F29</f>
        <v>2.1192772721097677E-2</v>
      </c>
      <c r="L29">
        <f t="shared" si="2"/>
        <v>21.192772721097676</v>
      </c>
      <c r="M29">
        <f>H29/G29</f>
        <v>31.2</v>
      </c>
      <c r="N29">
        <f>G29/E29</f>
        <v>4.3237634036665515E-2</v>
      </c>
    </row>
    <row r="30" spans="1:14" x14ac:dyDescent="0.35">
      <c r="A30">
        <v>248</v>
      </c>
      <c r="B30" t="s">
        <v>103</v>
      </c>
      <c r="C30">
        <v>47.368400000000001</v>
      </c>
      <c r="D30">
        <v>8.46021</v>
      </c>
      <c r="E30">
        <v>117.21299999999999</v>
      </c>
      <c r="F30">
        <v>4799</v>
      </c>
      <c r="G30">
        <v>3</v>
      </c>
      <c r="H30">
        <v>179</v>
      </c>
      <c r="I30">
        <f t="shared" si="0"/>
        <v>6.2513023546572201E-4</v>
      </c>
      <c r="J30">
        <f t="shared" si="1"/>
        <v>0.625130235465722</v>
      </c>
      <c r="K30">
        <f>H30/F30</f>
        <v>3.7299437382788084E-2</v>
      </c>
      <c r="L30">
        <f t="shared" si="2"/>
        <v>37.299437382788085</v>
      </c>
      <c r="M30">
        <f>H30/G30</f>
        <v>59.666666666666664</v>
      </c>
      <c r="N30">
        <f>G30/E30</f>
        <v>2.5594430651890151E-2</v>
      </c>
    </row>
    <row r="31" spans="1:14" x14ac:dyDescent="0.35">
      <c r="A31">
        <v>292</v>
      </c>
      <c r="B31" t="s">
        <v>18</v>
      </c>
      <c r="C31">
        <v>47.5747</v>
      </c>
      <c r="D31">
        <v>8.8000000000000007</v>
      </c>
      <c r="E31">
        <v>129.38400000000001</v>
      </c>
      <c r="F31">
        <v>2858</v>
      </c>
      <c r="G31">
        <v>4</v>
      </c>
      <c r="H31">
        <v>77</v>
      </c>
      <c r="I31">
        <f t="shared" si="0"/>
        <v>1.3995801259622112E-3</v>
      </c>
      <c r="J31">
        <f t="shared" si="1"/>
        <v>1.3995801259622112</v>
      </c>
      <c r="K31">
        <f>H31/F31</f>
        <v>2.6941917424772567E-2</v>
      </c>
      <c r="L31">
        <f t="shared" si="2"/>
        <v>26.941917424772566</v>
      </c>
      <c r="M31">
        <f>H31/G31</f>
        <v>19.25</v>
      </c>
      <c r="N31">
        <f>G31/E31</f>
        <v>3.0915723737092681E-2</v>
      </c>
    </row>
    <row r="32" spans="1:14" x14ac:dyDescent="0.35">
      <c r="A32">
        <v>159</v>
      </c>
      <c r="B32" t="s">
        <v>149</v>
      </c>
      <c r="C32">
        <v>47.271000000000001</v>
      </c>
      <c r="D32">
        <v>8.6828400000000006</v>
      </c>
      <c r="E32">
        <v>131.976</v>
      </c>
      <c r="F32">
        <v>6222</v>
      </c>
      <c r="G32">
        <v>3</v>
      </c>
      <c r="H32">
        <v>294</v>
      </c>
      <c r="I32">
        <f t="shared" si="0"/>
        <v>4.8216007714561236E-4</v>
      </c>
      <c r="J32">
        <f t="shared" si="1"/>
        <v>0.48216007714561238</v>
      </c>
      <c r="K32">
        <f>H32/F32</f>
        <v>4.7251687560270011E-2</v>
      </c>
      <c r="L32">
        <f t="shared" si="2"/>
        <v>47.251687560270014</v>
      </c>
      <c r="M32">
        <f>H32/G32</f>
        <v>98</v>
      </c>
      <c r="N32">
        <f>G32/E32</f>
        <v>2.2731405710129115E-2</v>
      </c>
    </row>
    <row r="33" spans="1:14" x14ac:dyDescent="0.35">
      <c r="A33">
        <v>10</v>
      </c>
      <c r="B33" t="s">
        <v>131</v>
      </c>
      <c r="C33">
        <v>47.261699999999998</v>
      </c>
      <c r="D33">
        <v>8.4153000000000002</v>
      </c>
      <c r="E33">
        <v>133.81199999999998</v>
      </c>
      <c r="F33">
        <v>5778</v>
      </c>
      <c r="G33">
        <v>2</v>
      </c>
      <c r="H33">
        <v>148</v>
      </c>
      <c r="I33">
        <f t="shared" si="0"/>
        <v>3.4614053305642093E-4</v>
      </c>
      <c r="J33">
        <f t="shared" si="1"/>
        <v>0.34614053305642095</v>
      </c>
      <c r="K33">
        <f>H33/F33</f>
        <v>2.5614399446175148E-2</v>
      </c>
      <c r="L33">
        <f t="shared" si="2"/>
        <v>25.614399446175149</v>
      </c>
      <c r="M33">
        <f>H33/G33</f>
        <v>74</v>
      </c>
      <c r="N33">
        <f>G33/E33</f>
        <v>1.4946342629958451E-2</v>
      </c>
    </row>
    <row r="34" spans="1:14" x14ac:dyDescent="0.35">
      <c r="A34">
        <v>151</v>
      </c>
      <c r="B34" t="s">
        <v>104</v>
      </c>
      <c r="C34">
        <v>47.306100000000001</v>
      </c>
      <c r="D34">
        <v>8.6083099999999995</v>
      </c>
      <c r="E34">
        <v>133.947</v>
      </c>
      <c r="F34">
        <v>5600</v>
      </c>
      <c r="G34">
        <v>4</v>
      </c>
      <c r="H34">
        <v>245</v>
      </c>
      <c r="I34">
        <f t="shared" ref="I34:I65" si="3">G34/F34</f>
        <v>7.1428571428571429E-4</v>
      </c>
      <c r="J34">
        <f t="shared" ref="J34:J65" si="4">I34*1000</f>
        <v>0.7142857142857143</v>
      </c>
      <c r="K34">
        <f>H34/F34</f>
        <v>4.3749999999999997E-2</v>
      </c>
      <c r="L34">
        <f t="shared" ref="L34:L65" si="5">K34*1000</f>
        <v>43.75</v>
      </c>
      <c r="M34">
        <f>H34/G34</f>
        <v>61.25</v>
      </c>
      <c r="N34">
        <f>G34/E34</f>
        <v>2.9862557578743832E-2</v>
      </c>
    </row>
    <row r="35" spans="1:14" x14ac:dyDescent="0.35">
      <c r="A35">
        <v>139</v>
      </c>
      <c r="B35" t="s">
        <v>87</v>
      </c>
      <c r="C35">
        <v>47.305199999999999</v>
      </c>
      <c r="D35">
        <v>8.5490999999999993</v>
      </c>
      <c r="E35">
        <v>138.00300000000001</v>
      </c>
      <c r="F35">
        <v>6120</v>
      </c>
      <c r="G35">
        <v>5</v>
      </c>
      <c r="H35">
        <v>260</v>
      </c>
      <c r="I35">
        <f t="shared" si="3"/>
        <v>8.1699346405228761E-4</v>
      </c>
      <c r="J35">
        <f t="shared" si="4"/>
        <v>0.81699346405228757</v>
      </c>
      <c r="K35">
        <f>H35/F35</f>
        <v>4.2483660130718956E-2</v>
      </c>
      <c r="L35">
        <f t="shared" si="5"/>
        <v>42.483660130718953</v>
      </c>
      <c r="M35">
        <f>H35/G35</f>
        <v>52</v>
      </c>
      <c r="N35">
        <f>G35/E35</f>
        <v>3.6231096425440021E-2</v>
      </c>
    </row>
    <row r="36" spans="1:14" x14ac:dyDescent="0.35">
      <c r="A36">
        <v>172</v>
      </c>
      <c r="B36" t="s">
        <v>142</v>
      </c>
      <c r="C36">
        <v>47.388599999999997</v>
      </c>
      <c r="D36">
        <v>8.75108</v>
      </c>
      <c r="E36">
        <v>138.69999999999999</v>
      </c>
      <c r="F36">
        <v>6573</v>
      </c>
      <c r="G36">
        <v>2</v>
      </c>
      <c r="H36">
        <v>171</v>
      </c>
      <c r="I36">
        <f t="shared" si="3"/>
        <v>3.0427506465845124E-4</v>
      </c>
      <c r="J36">
        <f t="shared" si="4"/>
        <v>0.30427506465845122</v>
      </c>
      <c r="K36">
        <f>H36/F36</f>
        <v>2.6015518028297581E-2</v>
      </c>
      <c r="L36">
        <f t="shared" si="5"/>
        <v>26.015518028297581</v>
      </c>
      <c r="M36">
        <f>H36/G36</f>
        <v>85.5</v>
      </c>
      <c r="N36">
        <f>G36/E36</f>
        <v>1.4419610670511897E-2</v>
      </c>
    </row>
    <row r="37" spans="1:14" x14ac:dyDescent="0.35">
      <c r="A37">
        <v>200</v>
      </c>
      <c r="B37" t="s">
        <v>20</v>
      </c>
      <c r="C37">
        <v>47.4146</v>
      </c>
      <c r="D37">
        <v>8.6471300000000006</v>
      </c>
      <c r="E37">
        <v>139.83000000000001</v>
      </c>
      <c r="F37">
        <v>7990</v>
      </c>
      <c r="G37">
        <v>7</v>
      </c>
      <c r="H37">
        <v>140</v>
      </c>
      <c r="I37">
        <f t="shared" si="3"/>
        <v>8.7609511889862328E-4</v>
      </c>
      <c r="J37">
        <f t="shared" si="4"/>
        <v>0.87609511889862324</v>
      </c>
      <c r="K37">
        <f>H37/F37</f>
        <v>1.7521902377972465E-2</v>
      </c>
      <c r="L37">
        <f t="shared" si="5"/>
        <v>17.521902377972467</v>
      </c>
      <c r="M37">
        <f>H37/G37</f>
        <v>20</v>
      </c>
      <c r="N37">
        <f>G37/E37</f>
        <v>5.006078809983551E-2</v>
      </c>
    </row>
    <row r="38" spans="1:14" x14ac:dyDescent="0.35">
      <c r="A38">
        <v>178</v>
      </c>
      <c r="B38" t="s">
        <v>65</v>
      </c>
      <c r="C38">
        <v>47.399000000000001</v>
      </c>
      <c r="D38">
        <v>8.7683</v>
      </c>
      <c r="E38">
        <v>139.846</v>
      </c>
      <c r="F38">
        <v>4409</v>
      </c>
      <c r="G38">
        <v>4</v>
      </c>
      <c r="H38">
        <v>156</v>
      </c>
      <c r="I38">
        <f t="shared" si="3"/>
        <v>9.0723520072578815E-4</v>
      </c>
      <c r="J38">
        <f t="shared" si="4"/>
        <v>0.90723520072578812</v>
      </c>
      <c r="K38">
        <f>H38/F38</f>
        <v>3.538217282830574E-2</v>
      </c>
      <c r="L38">
        <f t="shared" si="5"/>
        <v>35.382172828305741</v>
      </c>
      <c r="M38">
        <f>H38/G38</f>
        <v>39</v>
      </c>
      <c r="N38">
        <f>G38/E38</f>
        <v>2.8602891752356162E-2</v>
      </c>
    </row>
    <row r="39" spans="1:14" x14ac:dyDescent="0.35">
      <c r="A39">
        <v>231</v>
      </c>
      <c r="B39" t="s">
        <v>143</v>
      </c>
      <c r="C39">
        <v>47.451999999999998</v>
      </c>
      <c r="D39">
        <v>8.8101199999999995</v>
      </c>
      <c r="E39">
        <v>141.482</v>
      </c>
      <c r="F39">
        <v>6422</v>
      </c>
      <c r="G39">
        <v>2</v>
      </c>
      <c r="H39">
        <v>174</v>
      </c>
      <c r="I39">
        <f t="shared" si="3"/>
        <v>3.114294612270321E-4</v>
      </c>
      <c r="J39">
        <f t="shared" si="4"/>
        <v>0.31142946122703208</v>
      </c>
      <c r="K39">
        <f>H39/F39</f>
        <v>2.7094363126751789E-2</v>
      </c>
      <c r="L39">
        <f t="shared" si="5"/>
        <v>27.094363126751791</v>
      </c>
      <c r="M39">
        <f>H39/G39</f>
        <v>87</v>
      </c>
      <c r="N39">
        <f>G39/E39</f>
        <v>1.4136073846849777E-2</v>
      </c>
    </row>
    <row r="40" spans="1:14" x14ac:dyDescent="0.35">
      <c r="A40">
        <v>111</v>
      </c>
      <c r="B40" t="s">
        <v>128</v>
      </c>
      <c r="C40">
        <v>47.339100000000002</v>
      </c>
      <c r="D40">
        <v>8.87331</v>
      </c>
      <c r="E40">
        <v>146.51999999999998</v>
      </c>
      <c r="F40">
        <v>5049</v>
      </c>
      <c r="G40">
        <v>2</v>
      </c>
      <c r="H40">
        <v>145</v>
      </c>
      <c r="I40">
        <f t="shared" si="3"/>
        <v>3.961180431768667E-4</v>
      </c>
      <c r="J40">
        <f t="shared" si="4"/>
        <v>0.39611804317686672</v>
      </c>
      <c r="K40">
        <f>H40/F40</f>
        <v>2.8718558130322838E-2</v>
      </c>
      <c r="L40">
        <f t="shared" si="5"/>
        <v>28.718558130322837</v>
      </c>
      <c r="M40">
        <f>H40/G40</f>
        <v>72.5</v>
      </c>
      <c r="N40">
        <f>G40/E40</f>
        <v>1.3650013650013651E-2</v>
      </c>
    </row>
    <row r="41" spans="1:14" x14ac:dyDescent="0.35">
      <c r="A41">
        <v>294</v>
      </c>
      <c r="B41" t="s">
        <v>57</v>
      </c>
      <c r="C41">
        <v>47.492699999999999</v>
      </c>
      <c r="D41">
        <v>8.8657699999999995</v>
      </c>
      <c r="E41">
        <v>153.78299999999999</v>
      </c>
      <c r="F41">
        <v>4951</v>
      </c>
      <c r="G41">
        <v>3</v>
      </c>
      <c r="H41">
        <v>105</v>
      </c>
      <c r="I41">
        <f t="shared" si="3"/>
        <v>6.0593819430418102E-4</v>
      </c>
      <c r="J41">
        <f t="shared" si="4"/>
        <v>0.60593819430418105</v>
      </c>
      <c r="K41">
        <f>H41/F41</f>
        <v>2.1207836800646335E-2</v>
      </c>
      <c r="L41">
        <f t="shared" si="5"/>
        <v>21.207836800646334</v>
      </c>
      <c r="M41">
        <f>H41/G41</f>
        <v>35</v>
      </c>
      <c r="N41">
        <f>G41/E41</f>
        <v>1.9508008037299313E-2</v>
      </c>
    </row>
    <row r="42" spans="1:14" x14ac:dyDescent="0.35">
      <c r="A42">
        <v>242</v>
      </c>
      <c r="B42" t="s">
        <v>124</v>
      </c>
      <c r="C42">
        <v>47.3553</v>
      </c>
      <c r="D42">
        <v>8.4358199999999997</v>
      </c>
      <c r="E42">
        <v>156.45399999999998</v>
      </c>
      <c r="F42">
        <v>6893</v>
      </c>
      <c r="G42">
        <v>3</v>
      </c>
      <c r="H42">
        <v>205</v>
      </c>
      <c r="I42">
        <f t="shared" si="3"/>
        <v>4.3522414043232262E-4</v>
      </c>
      <c r="J42">
        <f t="shared" si="4"/>
        <v>0.4352241404323226</v>
      </c>
      <c r="K42">
        <f>H42/F42</f>
        <v>2.974031626287538E-2</v>
      </c>
      <c r="L42">
        <f t="shared" si="5"/>
        <v>29.740316262875382</v>
      </c>
      <c r="M42">
        <f>H42/G42</f>
        <v>68.333333333333329</v>
      </c>
      <c r="N42">
        <f>G42/E42</f>
        <v>1.9174965165479951E-2</v>
      </c>
    </row>
    <row r="43" spans="1:14" x14ac:dyDescent="0.35">
      <c r="A43">
        <v>86</v>
      </c>
      <c r="B43" t="s">
        <v>64</v>
      </c>
      <c r="C43">
        <v>47.474600000000002</v>
      </c>
      <c r="D43">
        <v>8.4540000000000006</v>
      </c>
      <c r="E43">
        <v>156.99599999999998</v>
      </c>
      <c r="F43">
        <v>5966</v>
      </c>
      <c r="G43">
        <v>3</v>
      </c>
      <c r="H43">
        <v>117</v>
      </c>
      <c r="I43">
        <f t="shared" si="3"/>
        <v>5.0284948038887027E-4</v>
      </c>
      <c r="J43">
        <f t="shared" si="4"/>
        <v>0.50284948038887023</v>
      </c>
      <c r="K43">
        <f>H43/F43</f>
        <v>1.961112973516594E-2</v>
      </c>
      <c r="L43">
        <f t="shared" si="5"/>
        <v>19.611129735165939</v>
      </c>
      <c r="M43">
        <f>H43/G43</f>
        <v>39</v>
      </c>
      <c r="N43">
        <f>G43/E43</f>
        <v>1.9108767102346561E-2</v>
      </c>
    </row>
    <row r="44" spans="1:14" x14ac:dyDescent="0.35">
      <c r="A44">
        <v>193</v>
      </c>
      <c r="B44" t="s">
        <v>105</v>
      </c>
      <c r="C44">
        <v>47.370899999999999</v>
      </c>
      <c r="D44">
        <v>8.6367399999999996</v>
      </c>
      <c r="E44">
        <v>160.90800000000002</v>
      </c>
      <c r="F44">
        <v>8918</v>
      </c>
      <c r="G44">
        <v>4</v>
      </c>
      <c r="H44">
        <v>245</v>
      </c>
      <c r="I44">
        <f t="shared" si="3"/>
        <v>4.4853106077595876E-4</v>
      </c>
      <c r="J44">
        <f t="shared" si="4"/>
        <v>0.44853106077595878</v>
      </c>
      <c r="K44">
        <f>H44/F44</f>
        <v>2.7472527472527472E-2</v>
      </c>
      <c r="L44">
        <f t="shared" si="5"/>
        <v>27.472527472527471</v>
      </c>
      <c r="M44">
        <f>H44/G44</f>
        <v>61.25</v>
      </c>
      <c r="N44">
        <f>G44/E44</f>
        <v>2.4858925597235685E-2</v>
      </c>
    </row>
    <row r="45" spans="1:14" x14ac:dyDescent="0.35">
      <c r="A45">
        <v>54</v>
      </c>
      <c r="B45" t="s">
        <v>43</v>
      </c>
      <c r="C45">
        <v>47.4253</v>
      </c>
      <c r="D45">
        <v>8.6164500000000004</v>
      </c>
      <c r="E45">
        <v>161.96800000000002</v>
      </c>
      <c r="F45">
        <v>7867</v>
      </c>
      <c r="G45">
        <v>3</v>
      </c>
      <c r="H45">
        <v>87</v>
      </c>
      <c r="I45">
        <f t="shared" si="3"/>
        <v>3.8133977373840089E-4</v>
      </c>
      <c r="J45">
        <f t="shared" si="4"/>
        <v>0.38133977373840089</v>
      </c>
      <c r="K45">
        <f>H45/F45</f>
        <v>1.1058853438413627E-2</v>
      </c>
      <c r="L45">
        <f t="shared" si="5"/>
        <v>11.058853438413626</v>
      </c>
      <c r="M45">
        <f>H45/G45</f>
        <v>29</v>
      </c>
      <c r="N45">
        <f>G45/E45</f>
        <v>1.852217722019164E-2</v>
      </c>
    </row>
    <row r="46" spans="1:14" x14ac:dyDescent="0.35">
      <c r="A46">
        <v>297</v>
      </c>
      <c r="B46" t="s">
        <v>54</v>
      </c>
      <c r="C46">
        <v>47.374600000000001</v>
      </c>
      <c r="D46">
        <v>8.8850599999999993</v>
      </c>
      <c r="E46">
        <v>165.256</v>
      </c>
      <c r="F46">
        <v>4879</v>
      </c>
      <c r="G46">
        <v>5</v>
      </c>
      <c r="H46">
        <v>168</v>
      </c>
      <c r="I46">
        <f t="shared" si="3"/>
        <v>1.0248001639680262E-3</v>
      </c>
      <c r="J46">
        <f t="shared" si="4"/>
        <v>1.0248001639680262</v>
      </c>
      <c r="K46">
        <f>H46/F46</f>
        <v>3.443328550932568E-2</v>
      </c>
      <c r="L46">
        <f t="shared" si="5"/>
        <v>34.433285509325678</v>
      </c>
      <c r="M46">
        <f>H46/G46</f>
        <v>33.6</v>
      </c>
      <c r="N46">
        <f>G46/E46</f>
        <v>3.0256087524809992E-2</v>
      </c>
    </row>
    <row r="47" spans="1:14" x14ac:dyDescent="0.35">
      <c r="A47">
        <v>223</v>
      </c>
      <c r="B47" t="s">
        <v>147</v>
      </c>
      <c r="C47">
        <v>47.531300000000002</v>
      </c>
      <c r="D47">
        <v>8.6516999999999999</v>
      </c>
      <c r="E47">
        <v>167.05500000000001</v>
      </c>
      <c r="F47">
        <v>5753</v>
      </c>
      <c r="G47">
        <v>2</v>
      </c>
      <c r="H47">
        <v>192</v>
      </c>
      <c r="I47">
        <f t="shared" si="3"/>
        <v>3.4764470710933428E-4</v>
      </c>
      <c r="J47">
        <f t="shared" si="4"/>
        <v>0.34764470710933426</v>
      </c>
      <c r="K47">
        <f>H47/F47</f>
        <v>3.3373891882496086E-2</v>
      </c>
      <c r="L47">
        <f t="shared" si="5"/>
        <v>33.373891882496089</v>
      </c>
      <c r="M47">
        <f>H47/G47</f>
        <v>96</v>
      </c>
      <c r="N47">
        <f>G47/E47</f>
        <v>1.1972104995360808E-2</v>
      </c>
    </row>
    <row r="48" spans="1:14" x14ac:dyDescent="0.35">
      <c r="A48">
        <v>64</v>
      </c>
      <c r="B48" t="s">
        <v>39</v>
      </c>
      <c r="C48">
        <v>47.4589</v>
      </c>
      <c r="D48">
        <v>8.6503700000000006</v>
      </c>
      <c r="E48">
        <v>168.50299999999999</v>
      </c>
      <c r="F48">
        <v>5616</v>
      </c>
      <c r="G48">
        <v>3</v>
      </c>
      <c r="H48">
        <v>83</v>
      </c>
      <c r="I48">
        <f t="shared" si="3"/>
        <v>5.3418803418803424E-4</v>
      </c>
      <c r="J48">
        <f t="shared" si="4"/>
        <v>0.53418803418803429</v>
      </c>
      <c r="K48">
        <f>H48/F48</f>
        <v>1.4779202279202279E-2</v>
      </c>
      <c r="L48">
        <f t="shared" si="5"/>
        <v>14.779202279202279</v>
      </c>
      <c r="M48">
        <f>H48/G48</f>
        <v>27.666666666666668</v>
      </c>
      <c r="N48">
        <f>G48/E48</f>
        <v>1.7803837320403793E-2</v>
      </c>
    </row>
    <row r="49" spans="1:14" x14ac:dyDescent="0.35">
      <c r="A49">
        <v>152</v>
      </c>
      <c r="B49" t="s">
        <v>121</v>
      </c>
      <c r="C49">
        <v>47.298499999999997</v>
      </c>
      <c r="D49">
        <v>8.6313700000000004</v>
      </c>
      <c r="E49">
        <v>170.62</v>
      </c>
      <c r="F49">
        <v>6566</v>
      </c>
      <c r="G49">
        <v>3</v>
      </c>
      <c r="H49">
        <v>201</v>
      </c>
      <c r="I49">
        <f t="shared" si="3"/>
        <v>4.5689917758148037E-4</v>
      </c>
      <c r="J49">
        <f t="shared" si="4"/>
        <v>0.45689917758148035</v>
      </c>
      <c r="K49">
        <f>H49/F49</f>
        <v>3.0612244897959183E-2</v>
      </c>
      <c r="L49">
        <f t="shared" si="5"/>
        <v>30.612244897959183</v>
      </c>
      <c r="M49">
        <f>H49/G49</f>
        <v>67</v>
      </c>
      <c r="N49">
        <f>G49/E49</f>
        <v>1.7582932833196577E-2</v>
      </c>
    </row>
    <row r="50" spans="1:14" x14ac:dyDescent="0.35">
      <c r="A50">
        <v>135</v>
      </c>
      <c r="B50" t="s">
        <v>96</v>
      </c>
      <c r="C50">
        <v>47.3232</v>
      </c>
      <c r="D50">
        <v>8.5445100000000007</v>
      </c>
      <c r="E50">
        <v>171.976</v>
      </c>
      <c r="F50">
        <v>9189</v>
      </c>
      <c r="G50">
        <v>4</v>
      </c>
      <c r="H50">
        <v>225</v>
      </c>
      <c r="I50">
        <f t="shared" si="3"/>
        <v>4.3530307976928938E-4</v>
      </c>
      <c r="J50">
        <f t="shared" si="4"/>
        <v>0.43530307976928939</v>
      </c>
      <c r="K50">
        <f>H50/F50</f>
        <v>2.4485798237022526E-2</v>
      </c>
      <c r="L50">
        <f t="shared" si="5"/>
        <v>24.485798237022525</v>
      </c>
      <c r="M50">
        <f>H50/G50</f>
        <v>56.25</v>
      </c>
      <c r="N50">
        <f>G50/E50</f>
        <v>2.3259059403637716E-2</v>
      </c>
    </row>
    <row r="51" spans="1:14" x14ac:dyDescent="0.35">
      <c r="A51">
        <v>176</v>
      </c>
      <c r="B51" t="s">
        <v>31</v>
      </c>
      <c r="C51">
        <v>47.445500000000003</v>
      </c>
      <c r="D51">
        <v>8.6834299999999995</v>
      </c>
      <c r="E51">
        <v>172.84</v>
      </c>
      <c r="F51">
        <v>5577</v>
      </c>
      <c r="G51">
        <v>5</v>
      </c>
      <c r="H51">
        <v>127</v>
      </c>
      <c r="I51">
        <f t="shared" si="3"/>
        <v>8.9653935807781958E-4</v>
      </c>
      <c r="J51">
        <f t="shared" si="4"/>
        <v>0.89653935807781959</v>
      </c>
      <c r="K51">
        <f>H51/F51</f>
        <v>2.2772099695176618E-2</v>
      </c>
      <c r="L51">
        <f t="shared" si="5"/>
        <v>22.772099695176617</v>
      </c>
      <c r="M51">
        <f>H51/G51</f>
        <v>25.4</v>
      </c>
      <c r="N51">
        <f>G51/E51</f>
        <v>2.8928488775746355E-2</v>
      </c>
    </row>
    <row r="52" spans="1:14" x14ac:dyDescent="0.35">
      <c r="A52">
        <v>58</v>
      </c>
      <c r="B52" t="s">
        <v>90</v>
      </c>
      <c r="C52">
        <v>47.561999999999998</v>
      </c>
      <c r="D52">
        <v>8.4973299999999998</v>
      </c>
      <c r="E52">
        <v>176.4</v>
      </c>
      <c r="F52">
        <v>5273</v>
      </c>
      <c r="G52">
        <v>3</v>
      </c>
      <c r="H52">
        <v>160</v>
      </c>
      <c r="I52">
        <f t="shared" si="3"/>
        <v>5.6893608951261144E-4</v>
      </c>
      <c r="J52">
        <f t="shared" si="4"/>
        <v>0.56893608951261143</v>
      </c>
      <c r="K52">
        <f>H52/F52</f>
        <v>3.0343258107339274E-2</v>
      </c>
      <c r="L52">
        <f t="shared" si="5"/>
        <v>30.343258107339274</v>
      </c>
      <c r="M52">
        <f>H52/G52</f>
        <v>53.333333333333336</v>
      </c>
      <c r="N52">
        <f>G52/E52</f>
        <v>1.7006802721088433E-2</v>
      </c>
    </row>
    <row r="53" spans="1:14" x14ac:dyDescent="0.35">
      <c r="A53">
        <v>112</v>
      </c>
      <c r="B53" t="s">
        <v>74</v>
      </c>
      <c r="C53">
        <v>47.267800000000001</v>
      </c>
      <c r="D53">
        <v>8.8092799999999993</v>
      </c>
      <c r="E53">
        <v>176.47199999999998</v>
      </c>
      <c r="F53">
        <v>7367</v>
      </c>
      <c r="G53">
        <v>4</v>
      </c>
      <c r="H53">
        <v>187</v>
      </c>
      <c r="I53">
        <f t="shared" si="3"/>
        <v>5.4296185692955066E-4</v>
      </c>
      <c r="J53">
        <f t="shared" si="4"/>
        <v>0.54296185692955068</v>
      </c>
      <c r="K53">
        <f>H53/F53</f>
        <v>2.5383466811456496E-2</v>
      </c>
      <c r="L53">
        <f t="shared" si="5"/>
        <v>25.383466811456497</v>
      </c>
      <c r="M53">
        <f>H53/G53</f>
        <v>46.75</v>
      </c>
      <c r="N53">
        <f>G53/E53</f>
        <v>2.2666485334783992E-2</v>
      </c>
    </row>
    <row r="54" spans="1:14" x14ac:dyDescent="0.35">
      <c r="A54">
        <v>136</v>
      </c>
      <c r="B54" t="s">
        <v>97</v>
      </c>
      <c r="C54">
        <v>47.281100000000002</v>
      </c>
      <c r="D54">
        <v>8.5312199999999994</v>
      </c>
      <c r="E54">
        <v>178.602</v>
      </c>
      <c r="F54">
        <v>7880</v>
      </c>
      <c r="G54">
        <v>4</v>
      </c>
      <c r="H54">
        <v>227</v>
      </c>
      <c r="I54">
        <f t="shared" si="3"/>
        <v>5.0761421319796957E-4</v>
      </c>
      <c r="J54">
        <f t="shared" si="4"/>
        <v>0.50761421319796962</v>
      </c>
      <c r="K54">
        <f>H54/F54</f>
        <v>2.880710659898477E-2</v>
      </c>
      <c r="L54">
        <f t="shared" si="5"/>
        <v>28.80710659898477</v>
      </c>
      <c r="M54">
        <f>H54/G54</f>
        <v>56.75</v>
      </c>
      <c r="N54">
        <f>G54/E54</f>
        <v>2.2396165776419077E-2</v>
      </c>
    </row>
    <row r="55" spans="1:14" x14ac:dyDescent="0.35">
      <c r="A55">
        <v>227</v>
      </c>
      <c r="B55" t="s">
        <v>116</v>
      </c>
      <c r="C55">
        <v>47.535699999999999</v>
      </c>
      <c r="D55">
        <v>8.7272800000000004</v>
      </c>
      <c r="E55">
        <v>179.36</v>
      </c>
      <c r="F55">
        <v>7422</v>
      </c>
      <c r="G55">
        <v>4</v>
      </c>
      <c r="H55">
        <v>256</v>
      </c>
      <c r="I55">
        <f t="shared" si="3"/>
        <v>5.3893829156561571E-4</v>
      </c>
      <c r="J55">
        <f t="shared" si="4"/>
        <v>0.53893829156561568</v>
      </c>
      <c r="K55">
        <f>H55/F55</f>
        <v>3.4492050660199405E-2</v>
      </c>
      <c r="L55">
        <f t="shared" si="5"/>
        <v>34.492050660199403</v>
      </c>
      <c r="M55">
        <f>H55/G55</f>
        <v>64</v>
      </c>
      <c r="N55">
        <f>G55/E55</f>
        <v>2.2301516503122211E-2</v>
      </c>
    </row>
    <row r="56" spans="1:14" x14ac:dyDescent="0.35">
      <c r="A56">
        <v>155</v>
      </c>
      <c r="B56" t="s">
        <v>94</v>
      </c>
      <c r="C56">
        <v>47.261000000000003</v>
      </c>
      <c r="D56">
        <v>8.7009299999999996</v>
      </c>
      <c r="E56">
        <v>179.92799999999997</v>
      </c>
      <c r="F56">
        <v>11389</v>
      </c>
      <c r="G56">
        <v>7</v>
      </c>
      <c r="H56">
        <v>392</v>
      </c>
      <c r="I56">
        <f t="shared" si="3"/>
        <v>6.1462814996926854E-4</v>
      </c>
      <c r="J56">
        <f t="shared" si="4"/>
        <v>0.61462814996926851</v>
      </c>
      <c r="K56">
        <f>H56/F56</f>
        <v>3.4419176398279044E-2</v>
      </c>
      <c r="L56">
        <f t="shared" si="5"/>
        <v>34.419176398279042</v>
      </c>
      <c r="M56">
        <f>H56/G56</f>
        <v>56</v>
      </c>
      <c r="N56">
        <f>G56/E56</f>
        <v>3.8904450669156557E-2</v>
      </c>
    </row>
    <row r="57" spans="1:14" x14ac:dyDescent="0.35">
      <c r="A57">
        <v>113</v>
      </c>
      <c r="B57" t="s">
        <v>27</v>
      </c>
      <c r="C57">
        <v>47.277099999999997</v>
      </c>
      <c r="D57">
        <v>8.8549699999999998</v>
      </c>
      <c r="E57">
        <v>184.80100000000002</v>
      </c>
      <c r="F57">
        <v>7645</v>
      </c>
      <c r="G57">
        <v>5</v>
      </c>
      <c r="H57">
        <v>124</v>
      </c>
      <c r="I57">
        <f t="shared" si="3"/>
        <v>6.5402223675604975E-4</v>
      </c>
      <c r="J57">
        <f t="shared" si="4"/>
        <v>0.65402223675604976</v>
      </c>
      <c r="K57">
        <f>H57/F57</f>
        <v>1.6219751471550033E-2</v>
      </c>
      <c r="L57">
        <f t="shared" si="5"/>
        <v>16.219751471550033</v>
      </c>
      <c r="M57">
        <f>H57/G57</f>
        <v>24.8</v>
      </c>
      <c r="N57">
        <f>G57/E57</f>
        <v>2.7056130648643675E-2</v>
      </c>
    </row>
    <row r="58" spans="1:14" x14ac:dyDescent="0.35">
      <c r="A58">
        <v>298</v>
      </c>
      <c r="B58" t="s">
        <v>150</v>
      </c>
      <c r="C58">
        <v>47.528599999999997</v>
      </c>
      <c r="D58">
        <v>8.7988400000000002</v>
      </c>
      <c r="E58">
        <v>191.29999999999998</v>
      </c>
      <c r="F58">
        <v>6636</v>
      </c>
      <c r="G58">
        <v>2</v>
      </c>
      <c r="H58">
        <v>210</v>
      </c>
      <c r="I58">
        <f t="shared" si="3"/>
        <v>3.0138637733574441E-4</v>
      </c>
      <c r="J58">
        <f t="shared" si="4"/>
        <v>0.30138637733574442</v>
      </c>
      <c r="K58">
        <f>H58/F58</f>
        <v>3.1645569620253167E-2</v>
      </c>
      <c r="L58">
        <f t="shared" si="5"/>
        <v>31.645569620253166</v>
      </c>
      <c r="M58">
        <f>H58/G58</f>
        <v>105</v>
      </c>
      <c r="N58">
        <f>G58/E58</f>
        <v>1.0454783063251439E-2</v>
      </c>
    </row>
    <row r="59" spans="1:14" x14ac:dyDescent="0.35">
      <c r="A59">
        <v>160</v>
      </c>
      <c r="B59" t="s">
        <v>157</v>
      </c>
      <c r="C59">
        <v>47.335500000000003</v>
      </c>
      <c r="D59">
        <v>8.6272800000000007</v>
      </c>
      <c r="E59">
        <v>198.01400000000001</v>
      </c>
      <c r="F59">
        <v>5573</v>
      </c>
      <c r="G59">
        <v>2</v>
      </c>
      <c r="H59">
        <v>234</v>
      </c>
      <c r="I59">
        <f t="shared" si="3"/>
        <v>3.5887313834559486E-4</v>
      </c>
      <c r="J59">
        <f t="shared" si="4"/>
        <v>0.35887313834559487</v>
      </c>
      <c r="K59">
        <f>H59/F59</f>
        <v>4.1988157186434595E-2</v>
      </c>
      <c r="L59">
        <f t="shared" si="5"/>
        <v>41.988157186434599</v>
      </c>
      <c r="M59">
        <f>H59/G59</f>
        <v>117</v>
      </c>
      <c r="N59">
        <f>G59/E59</f>
        <v>1.0100295938671002E-2</v>
      </c>
    </row>
    <row r="60" spans="1:14" x14ac:dyDescent="0.35">
      <c r="A60">
        <v>250</v>
      </c>
      <c r="B60" t="s">
        <v>110</v>
      </c>
      <c r="C60">
        <v>47.3812</v>
      </c>
      <c r="D60">
        <v>8.4235799999999994</v>
      </c>
      <c r="E60">
        <v>203.14400000000001</v>
      </c>
      <c r="F60">
        <v>10009</v>
      </c>
      <c r="G60">
        <v>4</v>
      </c>
      <c r="H60">
        <v>252</v>
      </c>
      <c r="I60">
        <f t="shared" si="3"/>
        <v>3.9964032370866219E-4</v>
      </c>
      <c r="J60">
        <f t="shared" si="4"/>
        <v>0.3996403237086622</v>
      </c>
      <c r="K60">
        <f>H60/F60</f>
        <v>2.517734039364572E-2</v>
      </c>
      <c r="L60">
        <f t="shared" si="5"/>
        <v>25.177340393645721</v>
      </c>
      <c r="M60">
        <f>H60/G60</f>
        <v>63</v>
      </c>
      <c r="N60">
        <f>G60/E60</f>
        <v>1.9690465876422637E-2</v>
      </c>
    </row>
    <row r="61" spans="1:14" x14ac:dyDescent="0.35">
      <c r="A61">
        <v>90</v>
      </c>
      <c r="B61" t="s">
        <v>119</v>
      </c>
      <c r="C61">
        <v>47.475000000000001</v>
      </c>
      <c r="D61">
        <v>8.4770000000000003</v>
      </c>
      <c r="E61">
        <v>204.34899999999999</v>
      </c>
      <c r="F61">
        <v>9446</v>
      </c>
      <c r="G61">
        <v>4</v>
      </c>
      <c r="H61">
        <v>261</v>
      </c>
      <c r="I61">
        <f t="shared" si="3"/>
        <v>4.2345966546686428E-4</v>
      </c>
      <c r="J61">
        <f t="shared" si="4"/>
        <v>0.42345966546686431</v>
      </c>
      <c r="K61">
        <f>H61/F61</f>
        <v>2.7630743171712893E-2</v>
      </c>
      <c r="L61">
        <f t="shared" si="5"/>
        <v>27.630743171712894</v>
      </c>
      <c r="M61">
        <f>H61/G61</f>
        <v>65.25</v>
      </c>
      <c r="N61">
        <f>G61/E61</f>
        <v>1.9574355636680387E-2</v>
      </c>
    </row>
    <row r="62" spans="1:14" x14ac:dyDescent="0.35">
      <c r="A62">
        <v>52</v>
      </c>
      <c r="B62" t="s">
        <v>84</v>
      </c>
      <c r="C62">
        <v>47.441800000000001</v>
      </c>
      <c r="D62">
        <v>8.6315500000000007</v>
      </c>
      <c r="E62">
        <v>205.87099999999998</v>
      </c>
      <c r="F62">
        <v>11931</v>
      </c>
      <c r="G62">
        <v>3</v>
      </c>
      <c r="H62">
        <v>155</v>
      </c>
      <c r="I62">
        <f t="shared" si="3"/>
        <v>2.5144581342720644E-4</v>
      </c>
      <c r="J62">
        <f t="shared" si="4"/>
        <v>0.25144581342720645</v>
      </c>
      <c r="K62">
        <f>H62/F62</f>
        <v>1.2991367027072332E-2</v>
      </c>
      <c r="L62">
        <f t="shared" si="5"/>
        <v>12.991367027072332</v>
      </c>
      <c r="M62">
        <f>H62/G62</f>
        <v>51.666666666666664</v>
      </c>
      <c r="N62">
        <f>G62/E62</f>
        <v>1.4572232125942946E-2</v>
      </c>
    </row>
    <row r="63" spans="1:14" x14ac:dyDescent="0.35">
      <c r="A63">
        <v>56</v>
      </c>
      <c r="B63" t="s">
        <v>102</v>
      </c>
      <c r="C63">
        <v>47.509900000000002</v>
      </c>
      <c r="D63">
        <v>8.5986499999999992</v>
      </c>
      <c r="E63">
        <v>208.608</v>
      </c>
      <c r="F63">
        <v>9600</v>
      </c>
      <c r="G63">
        <v>6</v>
      </c>
      <c r="H63">
        <v>354</v>
      </c>
      <c r="I63">
        <f t="shared" si="3"/>
        <v>6.2500000000000001E-4</v>
      </c>
      <c r="J63">
        <f t="shared" si="4"/>
        <v>0.625</v>
      </c>
      <c r="K63">
        <f>H63/F63</f>
        <v>3.6874999999999998E-2</v>
      </c>
      <c r="L63">
        <f t="shared" si="5"/>
        <v>36.875</v>
      </c>
      <c r="M63">
        <f>H63/G63</f>
        <v>59</v>
      </c>
      <c r="N63">
        <f>G63/E63</f>
        <v>2.8762080073630923E-2</v>
      </c>
    </row>
    <row r="64" spans="1:14" x14ac:dyDescent="0.35">
      <c r="A64">
        <v>192</v>
      </c>
      <c r="B64" t="s">
        <v>156</v>
      </c>
      <c r="C64">
        <v>47.298999999999999</v>
      </c>
      <c r="D64">
        <v>8.6955399999999994</v>
      </c>
      <c r="E64">
        <v>210.39500000000001</v>
      </c>
      <c r="F64">
        <v>8820</v>
      </c>
      <c r="G64">
        <v>3</v>
      </c>
      <c r="H64">
        <v>344</v>
      </c>
      <c r="I64">
        <f t="shared" si="3"/>
        <v>3.4013605442176868E-4</v>
      </c>
      <c r="J64">
        <f t="shared" si="4"/>
        <v>0.3401360544217687</v>
      </c>
      <c r="K64">
        <f>H64/F64</f>
        <v>3.9002267573696146E-2</v>
      </c>
      <c r="L64">
        <f t="shared" si="5"/>
        <v>39.002267573696145</v>
      </c>
      <c r="M64">
        <f>H64/G64</f>
        <v>114.66666666666667</v>
      </c>
      <c r="N64">
        <f>G64/E64</f>
        <v>1.4258893985123221E-2</v>
      </c>
    </row>
    <row r="65" spans="1:14" x14ac:dyDescent="0.35">
      <c r="A65">
        <v>153</v>
      </c>
      <c r="B65" t="s">
        <v>126</v>
      </c>
      <c r="C65">
        <v>47.25</v>
      </c>
      <c r="D65">
        <v>8.7698499999999999</v>
      </c>
      <c r="E65">
        <v>211.06</v>
      </c>
      <c r="F65">
        <v>8814</v>
      </c>
      <c r="G65">
        <v>4</v>
      </c>
      <c r="H65">
        <v>287</v>
      </c>
      <c r="I65">
        <f t="shared" si="3"/>
        <v>4.5382346267302018E-4</v>
      </c>
      <c r="J65">
        <f t="shared" si="4"/>
        <v>0.45382346267302021</v>
      </c>
      <c r="K65">
        <f>H65/F65</f>
        <v>3.2561833446789201E-2</v>
      </c>
      <c r="L65">
        <f t="shared" si="5"/>
        <v>32.561833446789201</v>
      </c>
      <c r="M65">
        <f>H65/G65</f>
        <v>71.75</v>
      </c>
      <c r="N65">
        <f>G65/E65</f>
        <v>1.895195678953852E-2</v>
      </c>
    </row>
    <row r="66" spans="1:14" x14ac:dyDescent="0.35">
      <c r="A66">
        <v>97</v>
      </c>
      <c r="B66" t="s">
        <v>82</v>
      </c>
      <c r="C66">
        <v>47.448399999999999</v>
      </c>
      <c r="D66">
        <v>8.5305</v>
      </c>
      <c r="E66">
        <v>211.14</v>
      </c>
      <c r="F66">
        <v>8281</v>
      </c>
      <c r="G66">
        <v>4</v>
      </c>
      <c r="H66">
        <v>203</v>
      </c>
      <c r="I66">
        <f t="shared" ref="I66:I97" si="6">G66/F66</f>
        <v>4.8303345006641709E-4</v>
      </c>
      <c r="J66">
        <f t="shared" ref="J66:J97" si="7">I66*1000</f>
        <v>0.48303345006641707</v>
      </c>
      <c r="K66">
        <f>H66/F66</f>
        <v>2.4513947590870666E-2</v>
      </c>
      <c r="L66">
        <f t="shared" ref="L66:L97" si="8">K66*1000</f>
        <v>24.513947590870664</v>
      </c>
      <c r="M66">
        <f>H66/G66</f>
        <v>50.75</v>
      </c>
      <c r="N66">
        <f>G66/E66</f>
        <v>1.8944775978024062E-2</v>
      </c>
    </row>
    <row r="67" spans="1:14" x14ac:dyDescent="0.35">
      <c r="A67">
        <v>118</v>
      </c>
      <c r="B67" t="s">
        <v>163</v>
      </c>
      <c r="C67">
        <v>47.259700000000002</v>
      </c>
      <c r="D67">
        <v>8.8667599999999993</v>
      </c>
      <c r="E67">
        <v>220.97099999999998</v>
      </c>
      <c r="F67">
        <v>12485</v>
      </c>
      <c r="G67">
        <v>1</v>
      </c>
      <c r="H67">
        <v>408</v>
      </c>
      <c r="I67">
        <f t="shared" si="6"/>
        <v>8.009611533840609E-5</v>
      </c>
      <c r="J67">
        <f t="shared" si="7"/>
        <v>8.009611533840609E-2</v>
      </c>
      <c r="K67">
        <f>H67/F67</f>
        <v>3.2679215058069686E-2</v>
      </c>
      <c r="L67">
        <f t="shared" si="8"/>
        <v>32.679215058069687</v>
      </c>
      <c r="M67">
        <f>H67/G67</f>
        <v>408</v>
      </c>
      <c r="N67">
        <f>G67/E67</f>
        <v>4.5254807191893965E-3</v>
      </c>
    </row>
    <row r="68" spans="1:14" x14ac:dyDescent="0.35">
      <c r="A68">
        <v>120</v>
      </c>
      <c r="B68" t="s">
        <v>115</v>
      </c>
      <c r="C68">
        <v>47.288400000000003</v>
      </c>
      <c r="D68">
        <v>8.9221400000000006</v>
      </c>
      <c r="E68">
        <v>235.10400000000004</v>
      </c>
      <c r="F68">
        <v>10182</v>
      </c>
      <c r="G68">
        <v>5</v>
      </c>
      <c r="H68">
        <v>320</v>
      </c>
      <c r="I68">
        <f t="shared" si="6"/>
        <v>4.9106265959536434E-4</v>
      </c>
      <c r="J68">
        <f t="shared" si="7"/>
        <v>0.49106265959536433</v>
      </c>
      <c r="K68">
        <f>H68/F68</f>
        <v>3.1428010214103318E-2</v>
      </c>
      <c r="L68">
        <f t="shared" si="8"/>
        <v>31.428010214103317</v>
      </c>
      <c r="M68">
        <f>H68/G68</f>
        <v>64</v>
      </c>
      <c r="N68">
        <f>G68/E68</f>
        <v>2.1267183884578735E-2</v>
      </c>
    </row>
    <row r="69" spans="1:14" x14ac:dyDescent="0.35">
      <c r="A69">
        <v>115</v>
      </c>
      <c r="B69" t="s">
        <v>63</v>
      </c>
      <c r="C69">
        <v>47.297499999999999</v>
      </c>
      <c r="D69">
        <v>8.7394999999999996</v>
      </c>
      <c r="E69">
        <v>260.14400000000001</v>
      </c>
      <c r="F69">
        <v>10257</v>
      </c>
      <c r="G69">
        <v>7</v>
      </c>
      <c r="H69">
        <v>272</v>
      </c>
      <c r="I69">
        <f t="shared" si="6"/>
        <v>6.8246075850638592E-4</v>
      </c>
      <c r="J69">
        <f t="shared" si="7"/>
        <v>0.68246075850638588</v>
      </c>
      <c r="K69">
        <f>H69/F69</f>
        <v>2.6518475187676707E-2</v>
      </c>
      <c r="L69">
        <f t="shared" si="8"/>
        <v>26.518475187676707</v>
      </c>
      <c r="M69">
        <f>H69/G69</f>
        <v>38.857142857142854</v>
      </c>
      <c r="N69">
        <f>G69/E69</f>
        <v>2.690817393443631E-2</v>
      </c>
    </row>
    <row r="70" spans="1:14" x14ac:dyDescent="0.35">
      <c r="A70">
        <v>195</v>
      </c>
      <c r="B70" t="s">
        <v>153</v>
      </c>
      <c r="C70">
        <v>47.332700000000003</v>
      </c>
      <c r="D70">
        <v>8.6809999999999992</v>
      </c>
      <c r="E70">
        <v>260.65600000000001</v>
      </c>
      <c r="F70">
        <v>10778</v>
      </c>
      <c r="G70">
        <v>4</v>
      </c>
      <c r="H70">
        <v>324</v>
      </c>
      <c r="I70">
        <f t="shared" si="6"/>
        <v>3.7112636852848393E-4</v>
      </c>
      <c r="J70">
        <f t="shared" si="7"/>
        <v>0.37112636852848391</v>
      </c>
      <c r="K70">
        <f>H70/F70</f>
        <v>3.0061235850807201E-2</v>
      </c>
      <c r="L70">
        <f t="shared" si="8"/>
        <v>30.061235850807201</v>
      </c>
      <c r="M70">
        <f>H70/G70</f>
        <v>81</v>
      </c>
      <c r="N70">
        <f>G70/E70</f>
        <v>1.5345896507273955E-2</v>
      </c>
    </row>
    <row r="71" spans="1:14" x14ac:dyDescent="0.35">
      <c r="A71">
        <v>121</v>
      </c>
      <c r="B71" t="s">
        <v>101</v>
      </c>
      <c r="C71">
        <v>47.336799999999997</v>
      </c>
      <c r="D71">
        <v>8.8240999999999996</v>
      </c>
      <c r="E71">
        <v>428.28800000000001</v>
      </c>
      <c r="F71">
        <v>25038</v>
      </c>
      <c r="G71">
        <v>13</v>
      </c>
      <c r="H71">
        <v>765</v>
      </c>
      <c r="I71">
        <f t="shared" si="6"/>
        <v>5.1921079958463135E-4</v>
      </c>
      <c r="J71">
        <f t="shared" si="7"/>
        <v>0.51921079958463134</v>
      </c>
      <c r="K71">
        <f>H71/F71</f>
        <v>3.0553558590941769E-2</v>
      </c>
      <c r="L71">
        <f t="shared" si="8"/>
        <v>30.553558590941769</v>
      </c>
      <c r="M71">
        <f>H71/G71</f>
        <v>58.846153846153847</v>
      </c>
      <c r="N71">
        <f>G71/E71</f>
        <v>3.0353407053197848E-2</v>
      </c>
    </row>
    <row r="72" spans="1:14" x14ac:dyDescent="0.35">
      <c r="A72">
        <v>293</v>
      </c>
      <c r="B72" t="s">
        <v>91</v>
      </c>
      <c r="C72">
        <v>47.220199999999998</v>
      </c>
      <c r="D72">
        <v>8.6577999999999999</v>
      </c>
      <c r="E72">
        <v>523.173</v>
      </c>
      <c r="F72">
        <v>24808</v>
      </c>
      <c r="G72">
        <v>16</v>
      </c>
      <c r="H72">
        <v>855</v>
      </c>
      <c r="I72">
        <f t="shared" si="6"/>
        <v>6.4495324089003543E-4</v>
      </c>
      <c r="J72">
        <f t="shared" si="7"/>
        <v>0.64495324089003547</v>
      </c>
      <c r="K72">
        <f>H72/F72</f>
        <v>3.4464688810061268E-2</v>
      </c>
      <c r="L72">
        <f t="shared" si="8"/>
        <v>34.464688810061268</v>
      </c>
      <c r="M72">
        <f>H72/G72</f>
        <v>53.4375</v>
      </c>
      <c r="N72">
        <f>G72/E72</f>
        <v>3.0582617986784487E-2</v>
      </c>
    </row>
    <row r="73" spans="1:14" x14ac:dyDescent="0.35">
      <c r="A73">
        <v>198</v>
      </c>
      <c r="B73" t="s">
        <v>81</v>
      </c>
      <c r="C73">
        <v>47.3459</v>
      </c>
      <c r="D73">
        <v>8.7141999999999999</v>
      </c>
      <c r="E73">
        <v>586.6880000000001</v>
      </c>
      <c r="F73">
        <v>35295</v>
      </c>
      <c r="G73">
        <v>21</v>
      </c>
      <c r="H73">
        <v>1043</v>
      </c>
      <c r="I73">
        <f t="shared" si="6"/>
        <v>5.9498512537186569E-4</v>
      </c>
      <c r="J73">
        <f t="shared" si="7"/>
        <v>0.59498512537186565</v>
      </c>
      <c r="K73">
        <f>H73/F73</f>
        <v>2.9550927893469331E-2</v>
      </c>
      <c r="L73">
        <f t="shared" si="8"/>
        <v>29.550927893469332</v>
      </c>
      <c r="M73">
        <f>H73/G73</f>
        <v>49.666666666666664</v>
      </c>
      <c r="N73">
        <f>G73/E73</f>
        <v>3.579415293989309E-2</v>
      </c>
    </row>
    <row r="74" spans="1:14" x14ac:dyDescent="0.35">
      <c r="A74">
        <v>95</v>
      </c>
      <c r="B74" t="s">
        <v>23</v>
      </c>
      <c r="C74">
        <v>47.479500000000002</v>
      </c>
      <c r="D74">
        <v>8.4298599999999997</v>
      </c>
      <c r="E74">
        <v>11.950000000000001</v>
      </c>
      <c r="F74">
        <v>461</v>
      </c>
      <c r="G74">
        <v>1</v>
      </c>
      <c r="H74">
        <v>22</v>
      </c>
      <c r="I74">
        <f t="shared" si="6"/>
        <v>2.1691973969631237E-3</v>
      </c>
      <c r="J74">
        <f t="shared" si="7"/>
        <v>2.1691973969631237</v>
      </c>
      <c r="K74">
        <f>H74/F74</f>
        <v>4.7722342733188719E-2</v>
      </c>
      <c r="L74">
        <f t="shared" si="8"/>
        <v>47.722342733188718</v>
      </c>
      <c r="M74">
        <f>H74/G74</f>
        <v>22</v>
      </c>
      <c r="N74">
        <f>G74/E74</f>
        <v>8.3682008368200833E-2</v>
      </c>
    </row>
    <row r="75" spans="1:14" x14ac:dyDescent="0.35">
      <c r="A75">
        <v>43</v>
      </c>
      <c r="B75" t="s">
        <v>4</v>
      </c>
      <c r="C75">
        <v>47.574199999999998</v>
      </c>
      <c r="D75">
        <v>8.6273999999999997</v>
      </c>
      <c r="E75">
        <v>13.12</v>
      </c>
      <c r="F75">
        <v>383</v>
      </c>
      <c r="G75">
        <v>1</v>
      </c>
      <c r="H75">
        <v>7</v>
      </c>
      <c r="I75">
        <f t="shared" si="6"/>
        <v>2.6109660574412533E-3</v>
      </c>
      <c r="J75">
        <f t="shared" si="7"/>
        <v>2.6109660574412534</v>
      </c>
      <c r="K75">
        <f>H75/F75</f>
        <v>1.8276762402088774E-2</v>
      </c>
      <c r="L75">
        <f t="shared" si="8"/>
        <v>18.276762402088774</v>
      </c>
      <c r="M75">
        <f>H75/G75</f>
        <v>7</v>
      </c>
      <c r="N75">
        <f>G75/E75</f>
        <v>7.621951219512195E-2</v>
      </c>
    </row>
    <row r="76" spans="1:14" x14ac:dyDescent="0.35">
      <c r="A76">
        <v>87</v>
      </c>
      <c r="B76" t="s">
        <v>25</v>
      </c>
      <c r="C76">
        <v>47.443199999999997</v>
      </c>
      <c r="D76">
        <v>8.3908299999999993</v>
      </c>
      <c r="E76">
        <v>18.080000000000002</v>
      </c>
      <c r="F76">
        <v>947</v>
      </c>
      <c r="G76">
        <v>1</v>
      </c>
      <c r="H76">
        <v>23</v>
      </c>
      <c r="I76">
        <f t="shared" si="6"/>
        <v>1.0559662090813093E-3</v>
      </c>
      <c r="J76">
        <f t="shared" si="7"/>
        <v>1.0559662090813093</v>
      </c>
      <c r="K76">
        <f>H76/F76</f>
        <v>2.4287222808870117E-2</v>
      </c>
      <c r="L76">
        <f t="shared" si="8"/>
        <v>24.287222808870116</v>
      </c>
      <c r="M76">
        <f>H76/G76</f>
        <v>23</v>
      </c>
      <c r="N76">
        <f>G76/E76</f>
        <v>5.5309734513274332E-2</v>
      </c>
    </row>
    <row r="77" spans="1:14" x14ac:dyDescent="0.35">
      <c r="A77">
        <v>70</v>
      </c>
      <c r="B77" t="s">
        <v>16</v>
      </c>
      <c r="C77">
        <v>47.597299999999997</v>
      </c>
      <c r="D77">
        <v>8.4730000000000008</v>
      </c>
      <c r="E77">
        <v>18.123999999999999</v>
      </c>
      <c r="F77">
        <v>564</v>
      </c>
      <c r="G77">
        <v>1</v>
      </c>
      <c r="H77">
        <v>15</v>
      </c>
      <c r="I77">
        <f t="shared" si="6"/>
        <v>1.7730496453900709E-3</v>
      </c>
      <c r="J77">
        <f t="shared" si="7"/>
        <v>1.7730496453900708</v>
      </c>
      <c r="K77">
        <f>H77/F77</f>
        <v>2.6595744680851064E-2</v>
      </c>
      <c r="L77">
        <f t="shared" si="8"/>
        <v>26.595744680851062</v>
      </c>
      <c r="M77">
        <f>H77/G77</f>
        <v>15</v>
      </c>
      <c r="N77">
        <f>G77/E77</f>
        <v>5.5175457956301042E-2</v>
      </c>
    </row>
    <row r="78" spans="1:14" x14ac:dyDescent="0.35">
      <c r="A78">
        <v>41</v>
      </c>
      <c r="B78" t="s">
        <v>13</v>
      </c>
      <c r="C78">
        <v>47.634500000000003</v>
      </c>
      <c r="D78">
        <v>8.7311899999999998</v>
      </c>
      <c r="E78">
        <v>19.8</v>
      </c>
      <c r="F78">
        <v>450</v>
      </c>
      <c r="G78">
        <v>1</v>
      </c>
      <c r="H78">
        <v>13</v>
      </c>
      <c r="I78">
        <f t="shared" si="6"/>
        <v>2.2222222222222222E-3</v>
      </c>
      <c r="J78">
        <f t="shared" si="7"/>
        <v>2.2222222222222223</v>
      </c>
      <c r="K78">
        <f>H78/F78</f>
        <v>2.8888888888888888E-2</v>
      </c>
      <c r="L78">
        <f t="shared" si="8"/>
        <v>28.888888888888889</v>
      </c>
      <c r="M78">
        <f>H78/G78</f>
        <v>13</v>
      </c>
      <c r="N78">
        <f>G78/E78</f>
        <v>5.0505050505050504E-2</v>
      </c>
    </row>
    <row r="79" spans="1:14" x14ac:dyDescent="0.35">
      <c r="A79">
        <v>32</v>
      </c>
      <c r="B79" t="s">
        <v>14</v>
      </c>
      <c r="C79">
        <v>47.576599999999999</v>
      </c>
      <c r="D79">
        <v>8.6763200000000005</v>
      </c>
      <c r="E79">
        <v>20.976000000000003</v>
      </c>
      <c r="F79">
        <v>484</v>
      </c>
      <c r="G79">
        <v>1</v>
      </c>
      <c r="H79">
        <v>14</v>
      </c>
      <c r="I79">
        <f t="shared" si="6"/>
        <v>2.0661157024793389E-3</v>
      </c>
      <c r="J79">
        <f t="shared" si="7"/>
        <v>2.0661157024793391</v>
      </c>
      <c r="K79">
        <f>H79/F79</f>
        <v>2.8925619834710745E-2</v>
      </c>
      <c r="L79">
        <f t="shared" si="8"/>
        <v>28.925619834710744</v>
      </c>
      <c r="M79">
        <f>H79/G79</f>
        <v>14</v>
      </c>
      <c r="N79">
        <f>G79/E79</f>
        <v>4.7673531655225011E-2</v>
      </c>
    </row>
    <row r="80" spans="1:14" x14ac:dyDescent="0.35">
      <c r="A80">
        <v>23</v>
      </c>
      <c r="B80" t="s">
        <v>6</v>
      </c>
      <c r="C80">
        <v>47.563699999999997</v>
      </c>
      <c r="D80">
        <v>8.59422</v>
      </c>
      <c r="E80">
        <v>23.198999999999998</v>
      </c>
      <c r="F80">
        <v>595</v>
      </c>
      <c r="G80">
        <v>2</v>
      </c>
      <c r="H80">
        <v>17</v>
      </c>
      <c r="I80">
        <f t="shared" si="6"/>
        <v>3.3613445378151263E-3</v>
      </c>
      <c r="J80">
        <f t="shared" si="7"/>
        <v>3.3613445378151261</v>
      </c>
      <c r="K80">
        <f>H80/F80</f>
        <v>2.8571428571428571E-2</v>
      </c>
      <c r="L80">
        <f t="shared" si="8"/>
        <v>28.571428571428569</v>
      </c>
      <c r="M80">
        <f>H80/G80</f>
        <v>8.5</v>
      </c>
      <c r="N80">
        <f>G80/E80</f>
        <v>8.6210612526402011E-2</v>
      </c>
    </row>
    <row r="81" spans="1:14" x14ac:dyDescent="0.35">
      <c r="A81">
        <v>8</v>
      </c>
      <c r="B81" t="s">
        <v>7</v>
      </c>
      <c r="C81">
        <v>47.236199999999997</v>
      </c>
      <c r="D81">
        <v>8.4302600000000005</v>
      </c>
      <c r="E81">
        <v>24.803999999999998</v>
      </c>
      <c r="F81">
        <v>636</v>
      </c>
      <c r="G81">
        <v>2</v>
      </c>
      <c r="H81">
        <v>18</v>
      </c>
      <c r="I81">
        <f t="shared" si="6"/>
        <v>3.1446540880503146E-3</v>
      </c>
      <c r="J81">
        <f t="shared" si="7"/>
        <v>3.1446540880503147</v>
      </c>
      <c r="K81">
        <f>H81/F81</f>
        <v>2.8301886792452831E-2</v>
      </c>
      <c r="L81">
        <f t="shared" si="8"/>
        <v>28.30188679245283</v>
      </c>
      <c r="M81">
        <f>H81/G81</f>
        <v>9</v>
      </c>
      <c r="N81">
        <f>G81/E81</f>
        <v>8.0632156103854227E-2</v>
      </c>
    </row>
    <row r="82" spans="1:14" x14ac:dyDescent="0.35">
      <c r="A82">
        <v>81</v>
      </c>
      <c r="B82" t="s">
        <v>34</v>
      </c>
      <c r="C82">
        <v>47.527799999999999</v>
      </c>
      <c r="D82">
        <v>8.4286999999999992</v>
      </c>
      <c r="E82">
        <v>25.703999999999997</v>
      </c>
      <c r="F82">
        <v>615</v>
      </c>
      <c r="G82">
        <v>1</v>
      </c>
      <c r="H82">
        <v>26</v>
      </c>
      <c r="I82">
        <f t="shared" si="6"/>
        <v>1.6260162601626016E-3</v>
      </c>
      <c r="J82">
        <f t="shared" si="7"/>
        <v>1.6260162601626016</v>
      </c>
      <c r="K82">
        <f>H82/F82</f>
        <v>4.2276422764227641E-2</v>
      </c>
      <c r="L82">
        <f t="shared" si="8"/>
        <v>42.27642276422764</v>
      </c>
      <c r="M82">
        <f>H82/G82</f>
        <v>26</v>
      </c>
      <c r="N82">
        <f>G82/E82</f>
        <v>3.8904450669156557E-2</v>
      </c>
    </row>
    <row r="83" spans="1:14" x14ac:dyDescent="0.35">
      <c r="A83">
        <v>98</v>
      </c>
      <c r="B83" t="s">
        <v>9</v>
      </c>
      <c r="C83">
        <v>47.499499999999998</v>
      </c>
      <c r="D83">
        <v>8.3932300000000009</v>
      </c>
      <c r="E83">
        <v>26.035999999999998</v>
      </c>
      <c r="F83">
        <v>856</v>
      </c>
      <c r="G83">
        <v>2</v>
      </c>
      <c r="H83">
        <v>21</v>
      </c>
      <c r="I83">
        <f t="shared" si="6"/>
        <v>2.3364485981308409E-3</v>
      </c>
      <c r="J83">
        <f t="shared" si="7"/>
        <v>2.3364485981308412</v>
      </c>
      <c r="K83">
        <f>H83/F83</f>
        <v>2.4532710280373831E-2</v>
      </c>
      <c r="L83">
        <f t="shared" si="8"/>
        <v>24.532710280373831</v>
      </c>
      <c r="M83">
        <f>H83/G83</f>
        <v>10.5</v>
      </c>
      <c r="N83">
        <f>G83/E83</f>
        <v>7.6816715317253037E-2</v>
      </c>
    </row>
    <row r="84" spans="1:14" x14ac:dyDescent="0.35">
      <c r="A84">
        <v>215</v>
      </c>
      <c r="B84" t="s">
        <v>15</v>
      </c>
      <c r="C84">
        <v>47.528700000000001</v>
      </c>
      <c r="D84">
        <v>8.6232399999999991</v>
      </c>
      <c r="E84">
        <v>27.063000000000002</v>
      </c>
      <c r="F84">
        <v>799</v>
      </c>
      <c r="G84">
        <v>2</v>
      </c>
      <c r="H84">
        <v>29</v>
      </c>
      <c r="I84">
        <f t="shared" si="6"/>
        <v>2.5031289111389237E-3</v>
      </c>
      <c r="J84">
        <f t="shared" si="7"/>
        <v>2.5031289111389237</v>
      </c>
      <c r="K84">
        <f>H84/F84</f>
        <v>3.629536921151439E-2</v>
      </c>
      <c r="L84">
        <f t="shared" si="8"/>
        <v>36.295369211514391</v>
      </c>
      <c r="M84">
        <f>H84/G84</f>
        <v>14.5</v>
      </c>
      <c r="N84">
        <f>G84/E84</f>
        <v>7.3901636921257799E-2</v>
      </c>
    </row>
    <row r="85" spans="1:14" x14ac:dyDescent="0.35">
      <c r="A85">
        <v>21</v>
      </c>
      <c r="B85" t="s">
        <v>11</v>
      </c>
      <c r="C85">
        <v>47.586500000000001</v>
      </c>
      <c r="D85">
        <v>8.70824</v>
      </c>
      <c r="E85">
        <v>31.114000000000001</v>
      </c>
      <c r="F85">
        <v>689</v>
      </c>
      <c r="G85">
        <v>1</v>
      </c>
      <c r="H85">
        <v>12</v>
      </c>
      <c r="I85">
        <f t="shared" si="6"/>
        <v>1.4513788098693759E-3</v>
      </c>
      <c r="J85">
        <f t="shared" si="7"/>
        <v>1.4513788098693758</v>
      </c>
      <c r="K85">
        <f>H85/F85</f>
        <v>1.741654571843251E-2</v>
      </c>
      <c r="L85">
        <f t="shared" si="8"/>
        <v>17.416545718432509</v>
      </c>
      <c r="M85">
        <f>H85/G85</f>
        <v>12</v>
      </c>
      <c r="N85">
        <f>G85/E85</f>
        <v>3.2139872726104003E-2</v>
      </c>
    </row>
    <row r="86" spans="1:14" x14ac:dyDescent="0.35">
      <c r="A86">
        <v>226</v>
      </c>
      <c r="B86" t="s">
        <v>2</v>
      </c>
      <c r="C86">
        <v>47.472000000000001</v>
      </c>
      <c r="D86">
        <v>8.8282000000000007</v>
      </c>
      <c r="E86">
        <v>31.639999999999997</v>
      </c>
      <c r="F86">
        <v>778</v>
      </c>
      <c r="G86">
        <v>1</v>
      </c>
      <c r="H86">
        <v>7</v>
      </c>
      <c r="I86">
        <f t="shared" si="6"/>
        <v>1.2853470437017994E-3</v>
      </c>
      <c r="J86">
        <f t="shared" si="7"/>
        <v>1.2853470437017993</v>
      </c>
      <c r="K86">
        <f>H86/F86</f>
        <v>8.9974293059125968E-3</v>
      </c>
      <c r="L86">
        <f t="shared" si="8"/>
        <v>8.9974293059125969</v>
      </c>
      <c r="M86">
        <f>H86/G86</f>
        <v>7</v>
      </c>
      <c r="N86">
        <f>G86/E86</f>
        <v>3.160556257901391E-2</v>
      </c>
    </row>
    <row r="87" spans="1:14" x14ac:dyDescent="0.35">
      <c r="A87">
        <v>22</v>
      </c>
      <c r="B87" t="s">
        <v>19</v>
      </c>
      <c r="C87">
        <v>47.655500000000004</v>
      </c>
      <c r="D87">
        <v>8.6550600000000006</v>
      </c>
      <c r="E87">
        <v>32.262</v>
      </c>
      <c r="F87">
        <v>851</v>
      </c>
      <c r="G87">
        <v>1</v>
      </c>
      <c r="H87">
        <v>20</v>
      </c>
      <c r="I87">
        <f t="shared" si="6"/>
        <v>1.1750881316098707E-3</v>
      </c>
      <c r="J87">
        <f t="shared" si="7"/>
        <v>1.1750881316098707</v>
      </c>
      <c r="K87">
        <f>H87/F87</f>
        <v>2.3501762632197415E-2</v>
      </c>
      <c r="L87">
        <f t="shared" si="8"/>
        <v>23.501762632197416</v>
      </c>
      <c r="M87">
        <f>H87/G87</f>
        <v>20</v>
      </c>
      <c r="N87">
        <f>G87/E87</f>
        <v>3.0996218461347716E-2</v>
      </c>
    </row>
    <row r="88" spans="1:14" x14ac:dyDescent="0.35">
      <c r="A88">
        <v>99</v>
      </c>
      <c r="B88" t="s">
        <v>56</v>
      </c>
      <c r="C88">
        <v>47.505099999999999</v>
      </c>
      <c r="D88">
        <v>8.4201200000000007</v>
      </c>
      <c r="E88">
        <v>33.97</v>
      </c>
      <c r="F88">
        <v>1394</v>
      </c>
      <c r="G88">
        <v>2</v>
      </c>
      <c r="H88">
        <v>68</v>
      </c>
      <c r="I88">
        <f t="shared" si="6"/>
        <v>1.4347202295552368E-3</v>
      </c>
      <c r="J88">
        <f t="shared" si="7"/>
        <v>1.4347202295552368</v>
      </c>
      <c r="K88">
        <f>H88/F88</f>
        <v>4.878048780487805E-2</v>
      </c>
      <c r="L88">
        <f t="shared" si="8"/>
        <v>48.780487804878049</v>
      </c>
      <c r="M88">
        <f>H88/G88</f>
        <v>34</v>
      </c>
      <c r="N88">
        <f>G88/E88</f>
        <v>5.88754783632617E-2</v>
      </c>
    </row>
    <row r="89" spans="1:14" x14ac:dyDescent="0.35">
      <c r="A89">
        <v>93</v>
      </c>
      <c r="B89" t="s">
        <v>123</v>
      </c>
      <c r="C89">
        <v>47.510399999999997</v>
      </c>
      <c r="D89">
        <v>8.4069699999999994</v>
      </c>
      <c r="E89">
        <v>34.860999999999997</v>
      </c>
      <c r="F89">
        <v>1896</v>
      </c>
      <c r="G89">
        <v>1</v>
      </c>
      <c r="H89">
        <v>68</v>
      </c>
      <c r="I89">
        <f t="shared" si="6"/>
        <v>5.274261603375527E-4</v>
      </c>
      <c r="J89">
        <f t="shared" si="7"/>
        <v>0.52742616033755274</v>
      </c>
      <c r="K89">
        <f>H89/F89</f>
        <v>3.5864978902953586E-2</v>
      </c>
      <c r="L89">
        <f t="shared" si="8"/>
        <v>35.864978902953588</v>
      </c>
      <c r="M89">
        <f>H89/G89</f>
        <v>68</v>
      </c>
      <c r="N89">
        <f>G89/E89</f>
        <v>2.8685350391555037E-2</v>
      </c>
    </row>
    <row r="90" spans="1:14" x14ac:dyDescent="0.35">
      <c r="A90">
        <v>82</v>
      </c>
      <c r="B90" t="s">
        <v>52</v>
      </c>
      <c r="C90">
        <v>47.473300000000002</v>
      </c>
      <c r="D90">
        <v>8.4079899999999999</v>
      </c>
      <c r="E90">
        <v>35.853999999999999</v>
      </c>
      <c r="F90">
        <v>1465</v>
      </c>
      <c r="G90">
        <v>1</v>
      </c>
      <c r="H90">
        <v>33</v>
      </c>
      <c r="I90">
        <f t="shared" si="6"/>
        <v>6.8259385665529011E-4</v>
      </c>
      <c r="J90">
        <f t="shared" si="7"/>
        <v>0.68259385665529015</v>
      </c>
      <c r="K90">
        <f>H90/F90</f>
        <v>2.2525597269624574E-2</v>
      </c>
      <c r="L90">
        <f t="shared" si="8"/>
        <v>22.525597269624573</v>
      </c>
      <c r="M90">
        <f>H90/G90</f>
        <v>33</v>
      </c>
      <c r="N90">
        <f>G90/E90</f>
        <v>2.7890890835053271E-2</v>
      </c>
    </row>
    <row r="91" spans="1:14" x14ac:dyDescent="0.35">
      <c r="A91">
        <v>211</v>
      </c>
      <c r="B91" t="s">
        <v>21</v>
      </c>
      <c r="C91">
        <v>47.578699999999998</v>
      </c>
      <c r="D91">
        <v>8.7853100000000008</v>
      </c>
      <c r="E91">
        <v>37.007999999999996</v>
      </c>
      <c r="F91">
        <v>702</v>
      </c>
      <c r="G91">
        <v>1</v>
      </c>
      <c r="H91">
        <v>20</v>
      </c>
      <c r="I91">
        <f t="shared" si="6"/>
        <v>1.4245014245014246E-3</v>
      </c>
      <c r="J91">
        <f t="shared" si="7"/>
        <v>1.4245014245014245</v>
      </c>
      <c r="K91">
        <f>H91/F91</f>
        <v>2.8490028490028491E-2</v>
      </c>
      <c r="L91">
        <f t="shared" si="8"/>
        <v>28.490028490028489</v>
      </c>
      <c r="M91">
        <f>H91/G91</f>
        <v>20</v>
      </c>
      <c r="N91">
        <f>G91/E91</f>
        <v>2.7021184608733251E-2</v>
      </c>
    </row>
    <row r="92" spans="1:14" x14ac:dyDescent="0.35">
      <c r="A92">
        <v>241</v>
      </c>
      <c r="B92" t="s">
        <v>77</v>
      </c>
      <c r="C92">
        <v>47.336799999999997</v>
      </c>
      <c r="D92">
        <v>8.4341600000000003</v>
      </c>
      <c r="E92">
        <v>38.033000000000001</v>
      </c>
      <c r="F92">
        <v>1707</v>
      </c>
      <c r="G92">
        <v>1</v>
      </c>
      <c r="H92">
        <v>48</v>
      </c>
      <c r="I92">
        <f t="shared" si="6"/>
        <v>5.8582308142940832E-4</v>
      </c>
      <c r="J92">
        <f t="shared" si="7"/>
        <v>0.58582308142940831</v>
      </c>
      <c r="K92">
        <f>H92/F92</f>
        <v>2.8119507908611598E-2</v>
      </c>
      <c r="L92">
        <f t="shared" si="8"/>
        <v>28.119507908611599</v>
      </c>
      <c r="M92">
        <f>H92/G92</f>
        <v>48</v>
      </c>
      <c r="N92">
        <f>G92/E92</f>
        <v>2.6292956117056239E-2</v>
      </c>
    </row>
    <row r="93" spans="1:14" x14ac:dyDescent="0.35">
      <c r="A93">
        <v>39</v>
      </c>
      <c r="B93" t="s">
        <v>10</v>
      </c>
      <c r="C93">
        <v>47.584000000000003</v>
      </c>
      <c r="D93">
        <v>8.7467100000000002</v>
      </c>
      <c r="E93">
        <v>38.700000000000003</v>
      </c>
      <c r="F93">
        <v>953</v>
      </c>
      <c r="G93">
        <v>3</v>
      </c>
      <c r="H93">
        <v>23</v>
      </c>
      <c r="I93">
        <f t="shared" si="6"/>
        <v>3.1479538300104933E-3</v>
      </c>
      <c r="J93">
        <f t="shared" si="7"/>
        <v>3.1479538300104934</v>
      </c>
      <c r="K93">
        <f>H93/F93</f>
        <v>2.4134312696747113E-2</v>
      </c>
      <c r="L93">
        <f t="shared" si="8"/>
        <v>24.134312696747113</v>
      </c>
      <c r="M93">
        <f>H93/G93</f>
        <v>7.666666666666667</v>
      </c>
      <c r="N93">
        <f>G93/E93</f>
        <v>7.7519379844961239E-2</v>
      </c>
    </row>
    <row r="94" spans="1:14" x14ac:dyDescent="0.35">
      <c r="A94">
        <v>29</v>
      </c>
      <c r="B94" t="s">
        <v>33</v>
      </c>
      <c r="C94">
        <v>47.683799999999998</v>
      </c>
      <c r="D94">
        <v>8.6378900000000005</v>
      </c>
      <c r="E94">
        <v>39.119999999999997</v>
      </c>
      <c r="F94">
        <v>1556</v>
      </c>
      <c r="G94">
        <v>1</v>
      </c>
      <c r="H94">
        <v>26</v>
      </c>
      <c r="I94">
        <f t="shared" si="6"/>
        <v>6.426735218508997E-4</v>
      </c>
      <c r="J94">
        <f t="shared" si="7"/>
        <v>0.64267352185089965</v>
      </c>
      <c r="K94">
        <f>H94/F94</f>
        <v>1.6709511568123392E-2</v>
      </c>
      <c r="L94">
        <f t="shared" si="8"/>
        <v>16.709511568123393</v>
      </c>
      <c r="M94">
        <f>H94/G94</f>
        <v>26</v>
      </c>
      <c r="N94">
        <f>G94/E94</f>
        <v>2.556237218813906E-2</v>
      </c>
    </row>
    <row r="95" spans="1:14" x14ac:dyDescent="0.35">
      <c r="A95">
        <v>24</v>
      </c>
      <c r="B95" t="s">
        <v>32</v>
      </c>
      <c r="C95">
        <v>47.549399999999999</v>
      </c>
      <c r="D95">
        <v>8.6285699999999999</v>
      </c>
      <c r="E95">
        <v>39.624000000000002</v>
      </c>
      <c r="F95">
        <v>1022</v>
      </c>
      <c r="G95">
        <v>1</v>
      </c>
      <c r="H95">
        <v>26</v>
      </c>
      <c r="I95">
        <f t="shared" si="6"/>
        <v>9.7847358121330719E-4</v>
      </c>
      <c r="J95">
        <f t="shared" si="7"/>
        <v>0.97847358121330719</v>
      </c>
      <c r="K95">
        <f>H95/F95</f>
        <v>2.5440313111545987E-2</v>
      </c>
      <c r="L95">
        <f t="shared" si="8"/>
        <v>25.440313111545986</v>
      </c>
      <c r="M95">
        <f>H95/G95</f>
        <v>26</v>
      </c>
      <c r="N95">
        <f>G95/E95</f>
        <v>2.523722996163941E-2</v>
      </c>
    </row>
    <row r="96" spans="1:14" x14ac:dyDescent="0.35">
      <c r="A96">
        <v>6</v>
      </c>
      <c r="B96" t="s">
        <v>17</v>
      </c>
      <c r="C96">
        <v>47.226599999999998</v>
      </c>
      <c r="D96">
        <v>8.5121300000000009</v>
      </c>
      <c r="E96">
        <v>40.664000000000001</v>
      </c>
      <c r="F96">
        <v>1244</v>
      </c>
      <c r="G96">
        <v>2</v>
      </c>
      <c r="H96">
        <v>36</v>
      </c>
      <c r="I96">
        <f t="shared" si="6"/>
        <v>1.6077170418006431E-3</v>
      </c>
      <c r="J96">
        <f t="shared" si="7"/>
        <v>1.607717041800643</v>
      </c>
      <c r="K96">
        <f>H96/F96</f>
        <v>2.8938906752411574E-2</v>
      </c>
      <c r="L96">
        <f t="shared" si="8"/>
        <v>28.938906752411576</v>
      </c>
      <c r="M96">
        <f>H96/G96</f>
        <v>18</v>
      </c>
      <c r="N96">
        <f>G96/E96</f>
        <v>4.9183553019870152E-2</v>
      </c>
    </row>
    <row r="97" spans="1:14" x14ac:dyDescent="0.35">
      <c r="A97">
        <v>214</v>
      </c>
      <c r="B97" t="s">
        <v>12</v>
      </c>
      <c r="C97">
        <v>47.564300000000003</v>
      </c>
      <c r="D97">
        <v>8.7271099999999997</v>
      </c>
      <c r="E97">
        <v>41.392000000000003</v>
      </c>
      <c r="F97">
        <v>1038</v>
      </c>
      <c r="G97">
        <v>2</v>
      </c>
      <c r="H97">
        <v>24</v>
      </c>
      <c r="I97">
        <f t="shared" si="6"/>
        <v>1.9267822736030828E-3</v>
      </c>
      <c r="J97">
        <f t="shared" si="7"/>
        <v>1.9267822736030829</v>
      </c>
      <c r="K97">
        <f>H97/F97</f>
        <v>2.3121387283236993E-2</v>
      </c>
      <c r="L97">
        <f t="shared" si="8"/>
        <v>23.121387283236992</v>
      </c>
      <c r="M97">
        <f>H97/G97</f>
        <v>12</v>
      </c>
      <c r="N97">
        <f>G97/E97</f>
        <v>4.8318515655199068E-2</v>
      </c>
    </row>
    <row r="98" spans="1:14" x14ac:dyDescent="0.35">
      <c r="A98">
        <v>31</v>
      </c>
      <c r="B98" t="s">
        <v>127</v>
      </c>
      <c r="C98">
        <v>47.561399999999999</v>
      </c>
      <c r="D98">
        <v>8.6834000000000007</v>
      </c>
      <c r="E98">
        <v>41.952000000000005</v>
      </c>
      <c r="F98">
        <v>2294</v>
      </c>
      <c r="G98">
        <v>1</v>
      </c>
      <c r="H98">
        <v>72</v>
      </c>
      <c r="I98">
        <f t="shared" ref="I98:I129" si="9">G98/F98</f>
        <v>4.3591979075850045E-4</v>
      </c>
      <c r="J98">
        <f t="shared" ref="J98:J129" si="10">I98*1000</f>
        <v>0.43591979075850046</v>
      </c>
      <c r="K98">
        <f>H98/F98</f>
        <v>3.1386224934612031E-2</v>
      </c>
      <c r="L98">
        <f t="shared" ref="L98:L129" si="11">K98*1000</f>
        <v>31.386224934612031</v>
      </c>
      <c r="M98">
        <f>H98/G98</f>
        <v>72</v>
      </c>
      <c r="N98">
        <f>G98/E98</f>
        <v>2.3836765827612506E-2</v>
      </c>
    </row>
    <row r="99" spans="1:14" x14ac:dyDescent="0.35">
      <c r="A99">
        <v>85</v>
      </c>
      <c r="B99" t="s">
        <v>70</v>
      </c>
      <c r="C99">
        <v>47.445999999999998</v>
      </c>
      <c r="D99">
        <v>8.4068699999999996</v>
      </c>
      <c r="E99">
        <v>42.018000000000001</v>
      </c>
      <c r="F99">
        <v>1847</v>
      </c>
      <c r="G99">
        <v>1</v>
      </c>
      <c r="H99">
        <v>44</v>
      </c>
      <c r="I99">
        <f t="shared" si="9"/>
        <v>5.4141851651326478E-4</v>
      </c>
      <c r="J99">
        <f t="shared" si="10"/>
        <v>0.54141851651326478</v>
      </c>
      <c r="K99">
        <f>H99/F99</f>
        <v>2.3822414726583648E-2</v>
      </c>
      <c r="L99">
        <f t="shared" si="11"/>
        <v>23.822414726583649</v>
      </c>
      <c r="M99">
        <f>H99/G99</f>
        <v>44</v>
      </c>
      <c r="N99">
        <f>G99/E99</f>
        <v>2.3799324099195582E-2</v>
      </c>
    </row>
    <row r="100" spans="1:14" x14ac:dyDescent="0.35">
      <c r="A100">
        <v>59</v>
      </c>
      <c r="B100" t="s">
        <v>68</v>
      </c>
      <c r="C100">
        <v>47.529800000000002</v>
      </c>
      <c r="D100">
        <v>8.5100300000000004</v>
      </c>
      <c r="E100">
        <v>42.023999999999994</v>
      </c>
      <c r="F100">
        <v>2019</v>
      </c>
      <c r="G100">
        <v>2</v>
      </c>
      <c r="H100">
        <v>82</v>
      </c>
      <c r="I100">
        <f t="shared" si="9"/>
        <v>9.9058940069341253E-4</v>
      </c>
      <c r="J100">
        <f t="shared" si="10"/>
        <v>0.9905894006934125</v>
      </c>
      <c r="K100">
        <f>H100/F100</f>
        <v>4.0614165428429917E-2</v>
      </c>
      <c r="L100">
        <f t="shared" si="11"/>
        <v>40.614165428429921</v>
      </c>
      <c r="M100">
        <f>H100/G100</f>
        <v>41</v>
      </c>
      <c r="N100">
        <f>G100/E100</f>
        <v>4.7591852274890545E-2</v>
      </c>
    </row>
    <row r="101" spans="1:14" x14ac:dyDescent="0.35">
      <c r="A101">
        <v>182</v>
      </c>
      <c r="B101" t="s">
        <v>35</v>
      </c>
      <c r="C101">
        <v>47.4193</v>
      </c>
      <c r="D101">
        <v>8.8270999999999997</v>
      </c>
      <c r="E101">
        <v>42.2</v>
      </c>
      <c r="F101">
        <v>1009</v>
      </c>
      <c r="G101">
        <v>1</v>
      </c>
      <c r="H101">
        <v>26</v>
      </c>
      <c r="I101">
        <f t="shared" si="9"/>
        <v>9.9108027750247768E-4</v>
      </c>
      <c r="J101">
        <f t="shared" si="10"/>
        <v>0.99108027750247762</v>
      </c>
      <c r="K101">
        <f>H101/F101</f>
        <v>2.576808721506442E-2</v>
      </c>
      <c r="L101">
        <f t="shared" si="11"/>
        <v>25.768087215064419</v>
      </c>
      <c r="M101">
        <f>H101/G101</f>
        <v>26</v>
      </c>
      <c r="N101">
        <f>G101/E101</f>
        <v>2.3696682464454975E-2</v>
      </c>
    </row>
    <row r="102" spans="1:14" x14ac:dyDescent="0.35">
      <c r="A102">
        <v>218</v>
      </c>
      <c r="B102" t="s">
        <v>29</v>
      </c>
      <c r="C102">
        <v>47.564399999999999</v>
      </c>
      <c r="D102">
        <v>8.8253799999999991</v>
      </c>
      <c r="E102">
        <v>43.238999999999997</v>
      </c>
      <c r="F102">
        <v>935</v>
      </c>
      <c r="G102">
        <v>1</v>
      </c>
      <c r="H102">
        <v>25</v>
      </c>
      <c r="I102">
        <f t="shared" si="9"/>
        <v>1.0695187165775401E-3</v>
      </c>
      <c r="J102">
        <f t="shared" si="10"/>
        <v>1.0695187165775402</v>
      </c>
      <c r="K102">
        <f>H102/F102</f>
        <v>2.6737967914438502E-2</v>
      </c>
      <c r="L102">
        <f t="shared" si="11"/>
        <v>26.737967914438503</v>
      </c>
      <c r="M102">
        <f>H102/G102</f>
        <v>25</v>
      </c>
      <c r="N102">
        <f>G102/E102</f>
        <v>2.3127269363306276E-2</v>
      </c>
    </row>
    <row r="103" spans="1:14" x14ac:dyDescent="0.35">
      <c r="A103">
        <v>12</v>
      </c>
      <c r="B103" t="s">
        <v>78</v>
      </c>
      <c r="C103">
        <v>47.246400000000001</v>
      </c>
      <c r="D103">
        <v>8.50014</v>
      </c>
      <c r="E103">
        <v>44.085999999999999</v>
      </c>
      <c r="F103">
        <v>1149</v>
      </c>
      <c r="G103">
        <v>1</v>
      </c>
      <c r="H103">
        <v>49</v>
      </c>
      <c r="I103">
        <f t="shared" si="9"/>
        <v>8.703220191470844E-4</v>
      </c>
      <c r="J103">
        <f t="shared" si="10"/>
        <v>0.8703220191470844</v>
      </c>
      <c r="K103">
        <f>H103/F103</f>
        <v>4.2645778938207139E-2</v>
      </c>
      <c r="L103">
        <f t="shared" si="11"/>
        <v>42.645778938207137</v>
      </c>
      <c r="M103">
        <f>H103/G103</f>
        <v>49</v>
      </c>
      <c r="N103">
        <f>G103/E103</f>
        <v>2.2682937894116045E-2</v>
      </c>
    </row>
    <row r="104" spans="1:14" x14ac:dyDescent="0.35">
      <c r="A104">
        <v>65</v>
      </c>
      <c r="B104" t="s">
        <v>28</v>
      </c>
      <c r="C104">
        <v>47.489699999999999</v>
      </c>
      <c r="D104">
        <v>8.63504</v>
      </c>
      <c r="E104">
        <v>44.835999999999999</v>
      </c>
      <c r="F104">
        <v>1097</v>
      </c>
      <c r="G104">
        <v>1</v>
      </c>
      <c r="H104">
        <v>25</v>
      </c>
      <c r="I104">
        <f t="shared" si="9"/>
        <v>9.1157702825888785E-4</v>
      </c>
      <c r="J104">
        <f t="shared" si="10"/>
        <v>0.91157702825888787</v>
      </c>
      <c r="K104">
        <f>H104/F104</f>
        <v>2.2789425706472195E-2</v>
      </c>
      <c r="L104">
        <f t="shared" si="11"/>
        <v>22.789425706472194</v>
      </c>
      <c r="M104">
        <f>H104/G104</f>
        <v>25</v>
      </c>
      <c r="N104">
        <f>G104/E104</f>
        <v>2.2303506111160675E-2</v>
      </c>
    </row>
    <row r="105" spans="1:14" x14ac:dyDescent="0.35">
      <c r="A105">
        <v>246</v>
      </c>
      <c r="B105" t="s">
        <v>30</v>
      </c>
      <c r="C105">
        <v>47.432400000000001</v>
      </c>
      <c r="D105">
        <v>8.3989899999999995</v>
      </c>
      <c r="E105">
        <v>44.873999999999995</v>
      </c>
      <c r="F105">
        <v>2529</v>
      </c>
      <c r="G105">
        <v>2</v>
      </c>
      <c r="H105">
        <v>50</v>
      </c>
      <c r="I105">
        <f t="shared" si="9"/>
        <v>7.9082641360221433E-4</v>
      </c>
      <c r="J105">
        <f t="shared" si="10"/>
        <v>0.79082641360221428</v>
      </c>
      <c r="K105">
        <f>H105/F105</f>
        <v>1.9770660340055358E-2</v>
      </c>
      <c r="L105">
        <f t="shared" si="11"/>
        <v>19.770660340055358</v>
      </c>
      <c r="M105">
        <f>H105/G105</f>
        <v>25</v>
      </c>
      <c r="N105">
        <f>G105/E105</f>
        <v>4.456923831171726E-2</v>
      </c>
    </row>
    <row r="106" spans="1:14" x14ac:dyDescent="0.35">
      <c r="A106">
        <v>119</v>
      </c>
      <c r="B106" t="s">
        <v>46</v>
      </c>
      <c r="C106">
        <v>47.343200000000003</v>
      </c>
      <c r="D106">
        <v>8.7688199999999998</v>
      </c>
      <c r="E106">
        <v>48.005999999999993</v>
      </c>
      <c r="F106">
        <v>1423</v>
      </c>
      <c r="G106">
        <v>1</v>
      </c>
      <c r="H106">
        <v>31</v>
      </c>
      <c r="I106">
        <f t="shared" si="9"/>
        <v>7.0274068868587491E-4</v>
      </c>
      <c r="J106">
        <f t="shared" si="10"/>
        <v>0.70274068868587491</v>
      </c>
      <c r="K106">
        <f>H106/F106</f>
        <v>2.1784961349262121E-2</v>
      </c>
      <c r="L106">
        <f t="shared" si="11"/>
        <v>21.784961349262122</v>
      </c>
      <c r="M106">
        <f>H106/G106</f>
        <v>31</v>
      </c>
      <c r="N106">
        <f>G106/E106</f>
        <v>2.0830729492146819E-2</v>
      </c>
    </row>
    <row r="107" spans="1:14" x14ac:dyDescent="0.35">
      <c r="A107">
        <v>220</v>
      </c>
      <c r="B107" t="s">
        <v>5</v>
      </c>
      <c r="C107">
        <v>47.517800000000001</v>
      </c>
      <c r="D107">
        <v>8.8766700000000007</v>
      </c>
      <c r="E107">
        <v>49.714999999999996</v>
      </c>
      <c r="F107">
        <v>1095</v>
      </c>
      <c r="G107">
        <v>3</v>
      </c>
      <c r="H107">
        <v>21</v>
      </c>
      <c r="I107">
        <f t="shared" si="9"/>
        <v>2.7397260273972603E-3</v>
      </c>
      <c r="J107">
        <f t="shared" si="10"/>
        <v>2.7397260273972601</v>
      </c>
      <c r="K107">
        <f>H107/F107</f>
        <v>1.9178082191780823E-2</v>
      </c>
      <c r="L107">
        <f t="shared" si="11"/>
        <v>19.178082191780824</v>
      </c>
      <c r="M107">
        <f>H107/G107</f>
        <v>7</v>
      </c>
      <c r="N107">
        <f>G107/E107</f>
        <v>6.0343960575279097E-2</v>
      </c>
    </row>
    <row r="108" spans="1:14" x14ac:dyDescent="0.35">
      <c r="A108">
        <v>216</v>
      </c>
      <c r="B108" t="s">
        <v>95</v>
      </c>
      <c r="C108">
        <v>47.559199999999997</v>
      </c>
      <c r="D108">
        <v>8.7642399999999991</v>
      </c>
      <c r="E108">
        <v>50.904000000000003</v>
      </c>
      <c r="F108">
        <v>1740</v>
      </c>
      <c r="G108">
        <v>1</v>
      </c>
      <c r="H108">
        <v>56</v>
      </c>
      <c r="I108">
        <f t="shared" si="9"/>
        <v>5.7471264367816091E-4</v>
      </c>
      <c r="J108">
        <f t="shared" si="10"/>
        <v>0.57471264367816088</v>
      </c>
      <c r="K108">
        <f>H108/F108</f>
        <v>3.2183908045977011E-2</v>
      </c>
      <c r="L108">
        <f t="shared" si="11"/>
        <v>32.183908045977013</v>
      </c>
      <c r="M108">
        <f>H108/G108</f>
        <v>56</v>
      </c>
      <c r="N108">
        <f>G108/E108</f>
        <v>1.9644821625019643E-2</v>
      </c>
    </row>
    <row r="109" spans="1:14" x14ac:dyDescent="0.35">
      <c r="A109">
        <v>213</v>
      </c>
      <c r="B109" t="s">
        <v>83</v>
      </c>
      <c r="C109">
        <v>47.476199999999999</v>
      </c>
      <c r="D109">
        <v>8.6736000000000004</v>
      </c>
      <c r="E109">
        <v>51.205000000000005</v>
      </c>
      <c r="F109">
        <v>2063</v>
      </c>
      <c r="G109">
        <v>1</v>
      </c>
      <c r="H109">
        <v>51</v>
      </c>
      <c r="I109">
        <f t="shared" si="9"/>
        <v>4.8473097430925838E-4</v>
      </c>
      <c r="J109">
        <f t="shared" si="10"/>
        <v>0.48473097430925838</v>
      </c>
      <c r="K109">
        <f>H109/F109</f>
        <v>2.4721279689772176E-2</v>
      </c>
      <c r="L109">
        <f t="shared" si="11"/>
        <v>24.721279689772174</v>
      </c>
      <c r="M109">
        <f>H109/G109</f>
        <v>51</v>
      </c>
      <c r="N109">
        <f>G109/E109</f>
        <v>1.9529342837613511E-2</v>
      </c>
    </row>
    <row r="110" spans="1:14" x14ac:dyDescent="0.35">
      <c r="A110">
        <v>40</v>
      </c>
      <c r="B110" t="s">
        <v>8</v>
      </c>
      <c r="C110">
        <v>47.643300000000004</v>
      </c>
      <c r="D110">
        <v>8.6856399999999994</v>
      </c>
      <c r="E110">
        <v>53.536000000000001</v>
      </c>
      <c r="F110">
        <v>1055</v>
      </c>
      <c r="G110">
        <v>3</v>
      </c>
      <c r="H110">
        <v>30</v>
      </c>
      <c r="I110">
        <f t="shared" si="9"/>
        <v>2.843601895734597E-3</v>
      </c>
      <c r="J110">
        <f t="shared" si="10"/>
        <v>2.8436018957345972</v>
      </c>
      <c r="K110">
        <f>H110/F110</f>
        <v>2.843601895734597E-2</v>
      </c>
      <c r="L110">
        <f t="shared" si="11"/>
        <v>28.436018957345969</v>
      </c>
      <c r="M110">
        <f>H110/G110</f>
        <v>10</v>
      </c>
      <c r="N110">
        <f>G110/E110</f>
        <v>5.603705917513449E-2</v>
      </c>
    </row>
    <row r="111" spans="1:14" x14ac:dyDescent="0.35">
      <c r="A111">
        <v>57</v>
      </c>
      <c r="B111" t="s">
        <v>45</v>
      </c>
      <c r="C111">
        <v>47.543999999999997</v>
      </c>
      <c r="D111">
        <v>8.5861800000000006</v>
      </c>
      <c r="E111">
        <v>58.379999999999995</v>
      </c>
      <c r="F111">
        <v>2398</v>
      </c>
      <c r="G111">
        <v>2</v>
      </c>
      <c r="H111">
        <v>61</v>
      </c>
      <c r="I111">
        <f t="shared" si="9"/>
        <v>8.3402835696413675E-4</v>
      </c>
      <c r="J111">
        <f t="shared" si="10"/>
        <v>0.8340283569641368</v>
      </c>
      <c r="K111">
        <f>H111/F111</f>
        <v>2.543786488740617E-2</v>
      </c>
      <c r="L111">
        <f t="shared" si="11"/>
        <v>25.437864887406171</v>
      </c>
      <c r="M111">
        <f>H111/G111</f>
        <v>30.5</v>
      </c>
      <c r="N111">
        <f>G111/E111</f>
        <v>3.4258307639602609E-2</v>
      </c>
    </row>
    <row r="112" spans="1:14" x14ac:dyDescent="0.35">
      <c r="A112">
        <v>25</v>
      </c>
      <c r="B112" t="s">
        <v>22</v>
      </c>
      <c r="C112">
        <v>47.671199999999999</v>
      </c>
      <c r="D112">
        <v>8.6126000000000005</v>
      </c>
      <c r="E112">
        <v>60.914000000000001</v>
      </c>
      <c r="F112">
        <v>1912</v>
      </c>
      <c r="G112">
        <v>2</v>
      </c>
      <c r="H112">
        <v>43</v>
      </c>
      <c r="I112">
        <f t="shared" si="9"/>
        <v>1.0460251046025104E-3</v>
      </c>
      <c r="J112">
        <f t="shared" si="10"/>
        <v>1.0460251046025104</v>
      </c>
      <c r="K112">
        <f>H112/F112</f>
        <v>2.2489539748953975E-2</v>
      </c>
      <c r="L112">
        <f t="shared" si="11"/>
        <v>22.489539748953973</v>
      </c>
      <c r="M112">
        <f>H112/G112</f>
        <v>21.5</v>
      </c>
      <c r="N112">
        <f>G112/E112</f>
        <v>3.2833174639655904E-2</v>
      </c>
    </row>
    <row r="113" spans="1:14" x14ac:dyDescent="0.35">
      <c r="A113">
        <v>60</v>
      </c>
      <c r="B113" t="s">
        <v>59</v>
      </c>
      <c r="C113">
        <v>47.508899999999997</v>
      </c>
      <c r="D113">
        <v>8.5035799999999995</v>
      </c>
      <c r="E113">
        <v>62.009999999999991</v>
      </c>
      <c r="F113">
        <v>2957</v>
      </c>
      <c r="G113">
        <v>2</v>
      </c>
      <c r="H113">
        <v>72</v>
      </c>
      <c r="I113">
        <f t="shared" si="9"/>
        <v>6.7636117686844773E-4</v>
      </c>
      <c r="J113">
        <f t="shared" si="10"/>
        <v>0.67636117686844777</v>
      </c>
      <c r="K113">
        <f>H113/F113</f>
        <v>2.434900236726412E-2</v>
      </c>
      <c r="L113">
        <f t="shared" si="11"/>
        <v>24.34900236726412</v>
      </c>
      <c r="M113">
        <f>H113/G113</f>
        <v>36</v>
      </c>
      <c r="N113">
        <f>G113/E113</f>
        <v>3.2252862441541692E-2</v>
      </c>
    </row>
    <row r="114" spans="1:14" x14ac:dyDescent="0.35">
      <c r="A114">
        <v>1</v>
      </c>
      <c r="B114" t="s">
        <v>71</v>
      </c>
      <c r="C114">
        <v>47.276800000000001</v>
      </c>
      <c r="D114">
        <v>8.4907900000000005</v>
      </c>
      <c r="E114">
        <v>63.99</v>
      </c>
      <c r="F114">
        <v>2011</v>
      </c>
      <c r="G114">
        <v>2</v>
      </c>
      <c r="H114">
        <v>89</v>
      </c>
      <c r="I114">
        <f t="shared" si="9"/>
        <v>9.945300845350571E-4</v>
      </c>
      <c r="J114">
        <f t="shared" si="10"/>
        <v>0.99453008453505709</v>
      </c>
      <c r="K114">
        <f>H114/F114</f>
        <v>4.4256588761810045E-2</v>
      </c>
      <c r="L114">
        <f t="shared" si="11"/>
        <v>44.256588761810043</v>
      </c>
      <c r="M114">
        <f>H114/G114</f>
        <v>44.5</v>
      </c>
      <c r="N114">
        <f>G114/E114</f>
        <v>3.1254883575558681E-2</v>
      </c>
    </row>
    <row r="115" spans="1:14" x14ac:dyDescent="0.35">
      <c r="A115">
        <v>26</v>
      </c>
      <c r="B115" t="s">
        <v>37</v>
      </c>
      <c r="C115">
        <v>47.572499999999998</v>
      </c>
      <c r="D115">
        <v>8.65137</v>
      </c>
      <c r="E115">
        <v>64.817999999999998</v>
      </c>
      <c r="F115">
        <v>665</v>
      </c>
      <c r="G115">
        <v>1</v>
      </c>
      <c r="H115">
        <v>27</v>
      </c>
      <c r="I115">
        <f t="shared" si="9"/>
        <v>1.5037593984962407E-3</v>
      </c>
      <c r="J115">
        <f t="shared" si="10"/>
        <v>1.5037593984962407</v>
      </c>
      <c r="K115">
        <f>H115/F115</f>
        <v>4.06015037593985E-2</v>
      </c>
      <c r="L115">
        <f t="shared" si="11"/>
        <v>40.601503759398497</v>
      </c>
      <c r="M115">
        <f>H115/G115</f>
        <v>27</v>
      </c>
      <c r="N115">
        <f>G115/E115</f>
        <v>1.542781326174828E-2</v>
      </c>
    </row>
    <row r="116" spans="1:14" x14ac:dyDescent="0.35">
      <c r="A116">
        <v>7</v>
      </c>
      <c r="B116" t="s">
        <v>44</v>
      </c>
      <c r="C116">
        <v>47.2258</v>
      </c>
      <c r="D116">
        <v>8.4637399999999996</v>
      </c>
      <c r="E116">
        <v>64.900000000000006</v>
      </c>
      <c r="F116">
        <v>2368</v>
      </c>
      <c r="G116">
        <v>2</v>
      </c>
      <c r="H116">
        <v>60</v>
      </c>
      <c r="I116">
        <f t="shared" si="9"/>
        <v>8.4459459459459464E-4</v>
      </c>
      <c r="J116">
        <f t="shared" si="10"/>
        <v>0.84459459459459463</v>
      </c>
      <c r="K116">
        <f>H116/F116</f>
        <v>2.5337837837837839E-2</v>
      </c>
      <c r="L116">
        <f t="shared" si="11"/>
        <v>25.337837837837839</v>
      </c>
      <c r="M116">
        <f>H116/G116</f>
        <v>30</v>
      </c>
      <c r="N116">
        <f>G116/E116</f>
        <v>3.0816640986132508E-2</v>
      </c>
    </row>
    <row r="117" spans="1:14" x14ac:dyDescent="0.35">
      <c r="A117">
        <v>28</v>
      </c>
      <c r="B117" t="s">
        <v>98</v>
      </c>
      <c r="C117">
        <v>47.586100000000002</v>
      </c>
      <c r="D117">
        <v>8.6063500000000008</v>
      </c>
      <c r="E117">
        <v>65.28</v>
      </c>
      <c r="F117">
        <v>1427</v>
      </c>
      <c r="G117">
        <v>1</v>
      </c>
      <c r="H117">
        <v>57</v>
      </c>
      <c r="I117">
        <f t="shared" si="9"/>
        <v>7.0077084793272596E-4</v>
      </c>
      <c r="J117">
        <f t="shared" si="10"/>
        <v>0.70077084793272593</v>
      </c>
      <c r="K117">
        <f>H117/F117</f>
        <v>3.9943938332165384E-2</v>
      </c>
      <c r="L117">
        <f t="shared" si="11"/>
        <v>39.943938332165381</v>
      </c>
      <c r="M117">
        <f>H117/G117</f>
        <v>57</v>
      </c>
      <c r="N117">
        <f>G117/E117</f>
        <v>1.5318627450980392E-2</v>
      </c>
    </row>
    <row r="118" spans="1:14" x14ac:dyDescent="0.35">
      <c r="A118">
        <v>68</v>
      </c>
      <c r="B118" t="s">
        <v>69</v>
      </c>
      <c r="C118">
        <v>47.533299999999997</v>
      </c>
      <c r="D118">
        <v>8.5832999999999995</v>
      </c>
      <c r="E118">
        <v>66.149999999999991</v>
      </c>
      <c r="F118">
        <v>2883</v>
      </c>
      <c r="G118">
        <v>1</v>
      </c>
      <c r="H118">
        <v>43</v>
      </c>
      <c r="I118">
        <f t="shared" si="9"/>
        <v>3.4686090877558099E-4</v>
      </c>
      <c r="J118">
        <f t="shared" si="10"/>
        <v>0.34686090877558101</v>
      </c>
      <c r="K118">
        <f>H118/F118</f>
        <v>1.4915019077349982E-2</v>
      </c>
      <c r="L118">
        <f t="shared" si="11"/>
        <v>14.915019077349982</v>
      </c>
      <c r="M118">
        <f>H118/G118</f>
        <v>43</v>
      </c>
      <c r="N118">
        <f>G118/E118</f>
        <v>1.5117157974300834E-2</v>
      </c>
    </row>
    <row r="119" spans="1:14" x14ac:dyDescent="0.35">
      <c r="A119">
        <v>225</v>
      </c>
      <c r="B119" t="s">
        <v>47</v>
      </c>
      <c r="C119">
        <v>47.552599999999998</v>
      </c>
      <c r="D119">
        <v>8.7945200000000003</v>
      </c>
      <c r="E119">
        <v>67.759999999999991</v>
      </c>
      <c r="F119">
        <v>2799</v>
      </c>
      <c r="G119">
        <v>2</v>
      </c>
      <c r="H119">
        <v>62</v>
      </c>
      <c r="I119">
        <f t="shared" si="9"/>
        <v>7.1454090746695244E-4</v>
      </c>
      <c r="J119">
        <f t="shared" si="10"/>
        <v>0.71454090746695242</v>
      </c>
      <c r="K119">
        <f>H119/F119</f>
        <v>2.2150768131475526E-2</v>
      </c>
      <c r="L119">
        <f t="shared" si="11"/>
        <v>22.150768131475527</v>
      </c>
      <c r="M119">
        <f>H119/G119</f>
        <v>31</v>
      </c>
      <c r="N119">
        <f>G119/E119</f>
        <v>2.9515938606847703E-2</v>
      </c>
    </row>
    <row r="120" spans="1:14" x14ac:dyDescent="0.35">
      <c r="A120">
        <v>38</v>
      </c>
      <c r="B120" t="s">
        <v>73</v>
      </c>
      <c r="C120">
        <v>47.630600000000001</v>
      </c>
      <c r="D120">
        <v>8.6155600000000003</v>
      </c>
      <c r="E120">
        <v>69.888000000000005</v>
      </c>
      <c r="F120">
        <v>1291</v>
      </c>
      <c r="G120">
        <v>1</v>
      </c>
      <c r="H120">
        <v>46</v>
      </c>
      <c r="I120">
        <f t="shared" si="9"/>
        <v>7.7459333849728897E-4</v>
      </c>
      <c r="J120">
        <f t="shared" si="10"/>
        <v>0.77459333849728895</v>
      </c>
      <c r="K120">
        <f>H120/F120</f>
        <v>3.5631293570875293E-2</v>
      </c>
      <c r="L120">
        <f t="shared" si="11"/>
        <v>35.631293570875293</v>
      </c>
      <c r="M120">
        <f>H120/G120</f>
        <v>46</v>
      </c>
      <c r="N120">
        <f>G120/E120</f>
        <v>1.4308608058608058E-2</v>
      </c>
    </row>
    <row r="121" spans="1:14" x14ac:dyDescent="0.35">
      <c r="A121">
        <v>51</v>
      </c>
      <c r="B121" t="s">
        <v>41</v>
      </c>
      <c r="C121">
        <v>47.5032</v>
      </c>
      <c r="D121">
        <v>8.5466300000000004</v>
      </c>
      <c r="E121">
        <v>69.927000000000007</v>
      </c>
      <c r="F121">
        <v>4203</v>
      </c>
      <c r="G121">
        <v>4</v>
      </c>
      <c r="H121">
        <v>113</v>
      </c>
      <c r="I121">
        <f t="shared" si="9"/>
        <v>9.5170116583392819E-4</v>
      </c>
      <c r="J121">
        <f t="shared" si="10"/>
        <v>0.95170116583392816</v>
      </c>
      <c r="K121">
        <f>H121/F121</f>
        <v>2.6885557934808471E-2</v>
      </c>
      <c r="L121">
        <f t="shared" si="11"/>
        <v>26.885557934808471</v>
      </c>
      <c r="M121">
        <f>H121/G121</f>
        <v>28.25</v>
      </c>
      <c r="N121">
        <f>G121/E121</f>
        <v>5.7202511190241244E-2</v>
      </c>
    </row>
    <row r="122" spans="1:14" x14ac:dyDescent="0.35">
      <c r="A122">
        <v>181</v>
      </c>
      <c r="B122" t="s">
        <v>93</v>
      </c>
      <c r="C122">
        <v>47.410699999999999</v>
      </c>
      <c r="D122">
        <v>8.8617500000000007</v>
      </c>
      <c r="E122">
        <v>71.070999999999998</v>
      </c>
      <c r="F122">
        <v>1996</v>
      </c>
      <c r="G122">
        <v>1</v>
      </c>
      <c r="H122">
        <v>55</v>
      </c>
      <c r="I122">
        <f t="shared" si="9"/>
        <v>5.0100200400801599E-4</v>
      </c>
      <c r="J122">
        <f t="shared" si="10"/>
        <v>0.50100200400801598</v>
      </c>
      <c r="K122">
        <f>H122/F122</f>
        <v>2.7555110220440882E-2</v>
      </c>
      <c r="L122">
        <f t="shared" si="11"/>
        <v>27.555110220440881</v>
      </c>
      <c r="M122">
        <f>H122/G122</f>
        <v>55</v>
      </c>
      <c r="N122">
        <f>G122/E122</f>
        <v>1.4070436605647874E-2</v>
      </c>
    </row>
    <row r="123" spans="1:14" x14ac:dyDescent="0.35">
      <c r="A123">
        <v>91</v>
      </c>
      <c r="B123" t="s">
        <v>120</v>
      </c>
      <c r="C123">
        <v>47.504300000000001</v>
      </c>
      <c r="D123">
        <v>8.3761299999999999</v>
      </c>
      <c r="E123">
        <v>73.98</v>
      </c>
      <c r="F123">
        <v>3089</v>
      </c>
      <c r="G123">
        <v>1</v>
      </c>
      <c r="H123">
        <v>66</v>
      </c>
      <c r="I123">
        <f t="shared" si="9"/>
        <v>3.2372936225315638E-4</v>
      </c>
      <c r="J123">
        <f t="shared" si="10"/>
        <v>0.32372936225315635</v>
      </c>
      <c r="K123">
        <f>H123/F123</f>
        <v>2.1366137908708321E-2</v>
      </c>
      <c r="L123">
        <f t="shared" si="11"/>
        <v>21.366137908708321</v>
      </c>
      <c r="M123">
        <f>H123/G123</f>
        <v>66</v>
      </c>
      <c r="N123">
        <f>G123/E123</f>
        <v>1.3517166801838334E-2</v>
      </c>
    </row>
    <row r="124" spans="1:14" x14ac:dyDescent="0.35">
      <c r="A124">
        <v>37</v>
      </c>
      <c r="B124" t="s">
        <v>49</v>
      </c>
      <c r="C124">
        <v>47.6143</v>
      </c>
      <c r="D124">
        <v>8.7223100000000002</v>
      </c>
      <c r="E124">
        <v>74.613</v>
      </c>
      <c r="F124">
        <v>1726</v>
      </c>
      <c r="G124">
        <v>1</v>
      </c>
      <c r="H124">
        <v>32</v>
      </c>
      <c r="I124">
        <f t="shared" si="9"/>
        <v>5.7937427578215526E-4</v>
      </c>
      <c r="J124">
        <f t="shared" si="10"/>
        <v>0.57937427578215528</v>
      </c>
      <c r="K124">
        <f>H124/F124</f>
        <v>1.8539976825028968E-2</v>
      </c>
      <c r="L124">
        <f t="shared" si="11"/>
        <v>18.539976825028969</v>
      </c>
      <c r="M124">
        <f>H124/G124</f>
        <v>32</v>
      </c>
      <c r="N124">
        <f>G124/E124</f>
        <v>1.3402490182675942E-2</v>
      </c>
    </row>
    <row r="125" spans="1:14" x14ac:dyDescent="0.35">
      <c r="A125">
        <v>88</v>
      </c>
      <c r="B125" t="s">
        <v>100</v>
      </c>
      <c r="C125">
        <v>47.511200000000002</v>
      </c>
      <c r="D125">
        <v>8.4764700000000008</v>
      </c>
      <c r="E125">
        <v>76.199999999999989</v>
      </c>
      <c r="F125">
        <v>3225</v>
      </c>
      <c r="G125">
        <v>2</v>
      </c>
      <c r="H125">
        <v>117</v>
      </c>
      <c r="I125">
        <f t="shared" si="9"/>
        <v>6.2015503875968996E-4</v>
      </c>
      <c r="J125">
        <f t="shared" si="10"/>
        <v>0.62015503875968991</v>
      </c>
      <c r="K125">
        <f>H125/F125</f>
        <v>3.6279069767441857E-2</v>
      </c>
      <c r="L125">
        <f t="shared" si="11"/>
        <v>36.279069767441854</v>
      </c>
      <c r="M125">
        <f>H125/G125</f>
        <v>58.5</v>
      </c>
      <c r="N125">
        <f>G125/E125</f>
        <v>2.624671916010499E-2</v>
      </c>
    </row>
    <row r="126" spans="1:14" x14ac:dyDescent="0.35">
      <c r="A126">
        <v>221</v>
      </c>
      <c r="B126" t="s">
        <v>130</v>
      </c>
      <c r="C126">
        <v>47.550899999999999</v>
      </c>
      <c r="D126">
        <v>8.7073900000000002</v>
      </c>
      <c r="E126">
        <v>76.823999999999998</v>
      </c>
      <c r="F126">
        <v>3099</v>
      </c>
      <c r="G126">
        <v>1</v>
      </c>
      <c r="H126">
        <v>73</v>
      </c>
      <c r="I126">
        <f t="shared" si="9"/>
        <v>3.2268473701193933E-4</v>
      </c>
      <c r="J126">
        <f t="shared" si="10"/>
        <v>0.32268473701193934</v>
      </c>
      <c r="K126">
        <f>H126/F126</f>
        <v>2.3555985801871571E-2</v>
      </c>
      <c r="L126">
        <f t="shared" si="11"/>
        <v>23.555985801871572</v>
      </c>
      <c r="M126">
        <f>H126/G126</f>
        <v>73</v>
      </c>
      <c r="N126">
        <f>G126/E126</f>
        <v>1.3016765594085182E-2</v>
      </c>
    </row>
    <row r="127" spans="1:14" x14ac:dyDescent="0.35">
      <c r="A127">
        <v>244</v>
      </c>
      <c r="B127" t="s">
        <v>162</v>
      </c>
      <c r="C127">
        <v>47.4221</v>
      </c>
      <c r="D127">
        <v>8.4130400000000005</v>
      </c>
      <c r="E127">
        <v>76.95</v>
      </c>
      <c r="F127">
        <v>5046</v>
      </c>
      <c r="G127">
        <v>1</v>
      </c>
      <c r="H127">
        <v>173</v>
      </c>
      <c r="I127">
        <f t="shared" si="9"/>
        <v>1.9817677368212446E-4</v>
      </c>
      <c r="J127">
        <f t="shared" si="10"/>
        <v>0.19817677368212447</v>
      </c>
      <c r="K127">
        <f>H127/F127</f>
        <v>3.4284581847007528E-2</v>
      </c>
      <c r="L127">
        <f t="shared" si="11"/>
        <v>34.28458184700753</v>
      </c>
      <c r="M127">
        <f>H127/G127</f>
        <v>173</v>
      </c>
      <c r="N127">
        <f>G127/E127</f>
        <v>1.2995451591942819E-2</v>
      </c>
    </row>
    <row r="128" spans="1:14" x14ac:dyDescent="0.35">
      <c r="A128">
        <v>30</v>
      </c>
      <c r="B128" t="s">
        <v>42</v>
      </c>
      <c r="C128">
        <v>47.594200000000001</v>
      </c>
      <c r="D128">
        <v>8.6767199999999995</v>
      </c>
      <c r="E128">
        <v>77.05</v>
      </c>
      <c r="F128">
        <v>2227</v>
      </c>
      <c r="G128">
        <v>3</v>
      </c>
      <c r="H128">
        <v>57</v>
      </c>
      <c r="I128">
        <f t="shared" si="9"/>
        <v>1.3471037269869781E-3</v>
      </c>
      <c r="J128">
        <f t="shared" si="10"/>
        <v>1.3471037269869781</v>
      </c>
      <c r="K128">
        <f>H128/F128</f>
        <v>2.5594970812752582E-2</v>
      </c>
      <c r="L128">
        <f t="shared" si="11"/>
        <v>25.594970812752582</v>
      </c>
      <c r="M128">
        <f>H128/G128</f>
        <v>19</v>
      </c>
      <c r="N128">
        <f>G128/E128</f>
        <v>3.8935756002595717E-2</v>
      </c>
    </row>
    <row r="129" spans="1:14" x14ac:dyDescent="0.35">
      <c r="A129">
        <v>27</v>
      </c>
      <c r="B129" t="s">
        <v>38</v>
      </c>
      <c r="C129">
        <v>47.687199999999997</v>
      </c>
      <c r="D129">
        <v>8.6528799999999997</v>
      </c>
      <c r="E129">
        <v>81</v>
      </c>
      <c r="F129">
        <v>3700</v>
      </c>
      <c r="G129">
        <v>2</v>
      </c>
      <c r="H129">
        <v>54</v>
      </c>
      <c r="I129">
        <f t="shared" si="9"/>
        <v>5.4054054054054055E-4</v>
      </c>
      <c r="J129">
        <f t="shared" si="10"/>
        <v>0.54054054054054057</v>
      </c>
      <c r="K129">
        <f>H129/F129</f>
        <v>1.4594594594594595E-2</v>
      </c>
      <c r="L129">
        <f t="shared" si="11"/>
        <v>14.594594594594595</v>
      </c>
      <c r="M129">
        <f>H129/G129</f>
        <v>27</v>
      </c>
      <c r="N129">
        <f>G129/E129</f>
        <v>2.4691358024691357E-2</v>
      </c>
    </row>
    <row r="130" spans="1:14" x14ac:dyDescent="0.35">
      <c r="A130">
        <v>114</v>
      </c>
      <c r="B130" t="s">
        <v>24</v>
      </c>
      <c r="C130">
        <v>47.337899999999998</v>
      </c>
      <c r="D130">
        <v>8.9424499999999991</v>
      </c>
      <c r="E130">
        <v>81.459000000000003</v>
      </c>
      <c r="F130">
        <v>2494</v>
      </c>
      <c r="G130">
        <v>3</v>
      </c>
      <c r="H130">
        <v>67</v>
      </c>
      <c r="I130">
        <f t="shared" ref="I130:I163" si="12">G130/F130</f>
        <v>1.2028869286287089E-3</v>
      </c>
      <c r="J130">
        <f t="shared" ref="J130:J161" si="13">I130*1000</f>
        <v>1.2028869286287089</v>
      </c>
      <c r="K130">
        <f>H130/F130</f>
        <v>2.6864474739374498E-2</v>
      </c>
      <c r="L130">
        <f t="shared" ref="L130:L161" si="14">K130*1000</f>
        <v>26.864474739374497</v>
      </c>
      <c r="M130">
        <f>H130/G130</f>
        <v>22.333333333333332</v>
      </c>
      <c r="N130">
        <f>G130/E130</f>
        <v>3.6828343092844253E-2</v>
      </c>
    </row>
    <row r="131" spans="1:14" x14ac:dyDescent="0.35">
      <c r="A131">
        <v>63</v>
      </c>
      <c r="B131" t="s">
        <v>40</v>
      </c>
      <c r="C131">
        <v>47.484699999999997</v>
      </c>
      <c r="D131">
        <v>8.5946200000000008</v>
      </c>
      <c r="E131">
        <v>84.951999999999984</v>
      </c>
      <c r="F131">
        <v>2561</v>
      </c>
      <c r="G131">
        <v>2</v>
      </c>
      <c r="H131">
        <v>56</v>
      </c>
      <c r="I131">
        <f t="shared" si="12"/>
        <v>7.8094494338149163E-4</v>
      </c>
      <c r="J131">
        <f t="shared" si="13"/>
        <v>0.78094494338149167</v>
      </c>
      <c r="K131">
        <f>H131/F131</f>
        <v>2.1866458414681766E-2</v>
      </c>
      <c r="L131">
        <f t="shared" si="14"/>
        <v>21.866458414681766</v>
      </c>
      <c r="M131">
        <f>H131/G131</f>
        <v>28</v>
      </c>
      <c r="N131">
        <f>G131/E131</f>
        <v>2.3542706469535744E-2</v>
      </c>
    </row>
    <row r="132" spans="1:14" x14ac:dyDescent="0.35">
      <c r="A132">
        <v>137</v>
      </c>
      <c r="B132" t="s">
        <v>85</v>
      </c>
      <c r="C132">
        <v>47.271999999999998</v>
      </c>
      <c r="D132">
        <v>8.5725999999999996</v>
      </c>
      <c r="E132">
        <v>85.007999999999996</v>
      </c>
      <c r="F132">
        <v>5118</v>
      </c>
      <c r="G132">
        <v>3</v>
      </c>
      <c r="H132">
        <v>155</v>
      </c>
      <c r="I132">
        <f t="shared" si="12"/>
        <v>5.8616647127784287E-4</v>
      </c>
      <c r="J132">
        <f t="shared" si="13"/>
        <v>0.58616647127784283</v>
      </c>
      <c r="K132">
        <f>H132/F132</f>
        <v>3.0285267682688549E-2</v>
      </c>
      <c r="L132">
        <f t="shared" si="14"/>
        <v>30.285267682688549</v>
      </c>
      <c r="M132">
        <f>H132/G132</f>
        <v>51.666666666666664</v>
      </c>
      <c r="N132">
        <f>G132/E132</f>
        <v>3.5290796160361376E-2</v>
      </c>
    </row>
    <row r="133" spans="1:14" x14ac:dyDescent="0.35">
      <c r="A133">
        <v>33</v>
      </c>
      <c r="B133" t="s">
        <v>26</v>
      </c>
      <c r="C133">
        <v>47.602600000000002</v>
      </c>
      <c r="D133">
        <v>8.6765000000000008</v>
      </c>
      <c r="E133">
        <v>86.435999999999993</v>
      </c>
      <c r="F133">
        <v>2105</v>
      </c>
      <c r="G133">
        <v>3</v>
      </c>
      <c r="H133">
        <v>72</v>
      </c>
      <c r="I133">
        <f t="shared" si="12"/>
        <v>1.4251781472684087E-3</v>
      </c>
      <c r="J133">
        <f t="shared" si="13"/>
        <v>1.4251781472684086</v>
      </c>
      <c r="K133">
        <f>H133/F133</f>
        <v>3.4204275534441803E-2</v>
      </c>
      <c r="L133">
        <f t="shared" si="14"/>
        <v>34.204275534441805</v>
      </c>
      <c r="M133">
        <f>H133/G133</f>
        <v>24</v>
      </c>
      <c r="N133">
        <f>G133/E133</f>
        <v>3.4707760655282527E-2</v>
      </c>
    </row>
    <row r="134" spans="1:14" x14ac:dyDescent="0.35">
      <c r="A134">
        <v>197</v>
      </c>
      <c r="B134" t="s">
        <v>62</v>
      </c>
      <c r="C134">
        <v>47.383200000000002</v>
      </c>
      <c r="D134">
        <v>8.6570400000000003</v>
      </c>
      <c r="E134">
        <v>87.12</v>
      </c>
      <c r="F134">
        <v>5183</v>
      </c>
      <c r="G134">
        <v>3</v>
      </c>
      <c r="H134">
        <v>109</v>
      </c>
      <c r="I134">
        <f t="shared" si="12"/>
        <v>5.7881535790082963E-4</v>
      </c>
      <c r="J134">
        <f t="shared" si="13"/>
        <v>0.57881535790082961</v>
      </c>
      <c r="K134">
        <f>H134/F134</f>
        <v>2.1030291337063477E-2</v>
      </c>
      <c r="L134">
        <f t="shared" si="14"/>
        <v>21.030291337063478</v>
      </c>
      <c r="M134">
        <f>H134/G134</f>
        <v>36.333333333333336</v>
      </c>
      <c r="N134">
        <f>G134/E134</f>
        <v>3.4435261707988982E-2</v>
      </c>
    </row>
    <row r="135" spans="1:14" x14ac:dyDescent="0.35">
      <c r="A135">
        <v>101</v>
      </c>
      <c r="B135" t="s">
        <v>136</v>
      </c>
      <c r="C135">
        <v>47.499099999999999</v>
      </c>
      <c r="D135">
        <v>8.4444099999999995</v>
      </c>
      <c r="E135">
        <v>87.123999999999995</v>
      </c>
      <c r="F135">
        <v>3583</v>
      </c>
      <c r="G135">
        <v>1</v>
      </c>
      <c r="H135">
        <v>79</v>
      </c>
      <c r="I135">
        <f t="shared" si="12"/>
        <v>2.7909572983533354E-4</v>
      </c>
      <c r="J135">
        <f t="shared" si="13"/>
        <v>0.27909572983533354</v>
      </c>
      <c r="K135">
        <f>H135/F135</f>
        <v>2.2048562656991347E-2</v>
      </c>
      <c r="L135">
        <f t="shared" si="14"/>
        <v>22.048562656991347</v>
      </c>
      <c r="M135">
        <f>H135/G135</f>
        <v>79</v>
      </c>
      <c r="N135">
        <f>G135/E135</f>
        <v>1.1477893576970755E-2</v>
      </c>
    </row>
    <row r="136" spans="1:14" x14ac:dyDescent="0.35">
      <c r="A136">
        <v>11</v>
      </c>
      <c r="B136" t="s">
        <v>92</v>
      </c>
      <c r="C136">
        <v>47.282800000000002</v>
      </c>
      <c r="D136">
        <v>8.4105000000000008</v>
      </c>
      <c r="E136">
        <v>89.177999999999997</v>
      </c>
      <c r="F136">
        <v>2706</v>
      </c>
      <c r="G136">
        <v>1</v>
      </c>
      <c r="H136">
        <v>55</v>
      </c>
      <c r="I136">
        <f t="shared" si="12"/>
        <v>3.6954915003695491E-4</v>
      </c>
      <c r="J136">
        <f t="shared" si="13"/>
        <v>0.36954915003695493</v>
      </c>
      <c r="K136">
        <f>H136/F136</f>
        <v>2.032520325203252E-2</v>
      </c>
      <c r="L136">
        <f t="shared" si="14"/>
        <v>20.325203252032519</v>
      </c>
      <c r="M136">
        <f>H136/G136</f>
        <v>55</v>
      </c>
      <c r="N136">
        <f>G136/E136</f>
        <v>1.1213528000179418E-2</v>
      </c>
    </row>
    <row r="137" spans="1:14" x14ac:dyDescent="0.35">
      <c r="A137">
        <v>61</v>
      </c>
      <c r="B137" t="s">
        <v>60</v>
      </c>
      <c r="C137">
        <v>47.593299999999999</v>
      </c>
      <c r="D137">
        <v>8.4996100000000006</v>
      </c>
      <c r="E137">
        <v>91.140000000000015</v>
      </c>
      <c r="F137">
        <v>1066</v>
      </c>
      <c r="G137">
        <v>1</v>
      </c>
      <c r="H137">
        <v>36</v>
      </c>
      <c r="I137">
        <f t="shared" si="12"/>
        <v>9.3808630393996248E-4</v>
      </c>
      <c r="J137">
        <f t="shared" si="13"/>
        <v>0.93808630393996251</v>
      </c>
      <c r="K137">
        <f>H137/F137</f>
        <v>3.3771106941838651E-2</v>
      </c>
      <c r="L137">
        <f t="shared" si="14"/>
        <v>33.771106941838653</v>
      </c>
      <c r="M137">
        <f>H137/G137</f>
        <v>36</v>
      </c>
      <c r="N137">
        <f>G137/E137</f>
        <v>1.0972130787798989E-2</v>
      </c>
    </row>
    <row r="138" spans="1:14" x14ac:dyDescent="0.35">
      <c r="A138">
        <v>84</v>
      </c>
      <c r="B138" t="s">
        <v>114</v>
      </c>
      <c r="C138">
        <v>47.440800000000003</v>
      </c>
      <c r="D138">
        <v>8.4335400000000007</v>
      </c>
      <c r="E138">
        <v>91.147000000000006</v>
      </c>
      <c r="F138">
        <v>4269</v>
      </c>
      <c r="G138">
        <v>1</v>
      </c>
      <c r="H138">
        <v>64</v>
      </c>
      <c r="I138">
        <f t="shared" si="12"/>
        <v>2.3424689622862497E-4</v>
      </c>
      <c r="J138">
        <f t="shared" si="13"/>
        <v>0.23424689622862496</v>
      </c>
      <c r="K138">
        <f>H138/F138</f>
        <v>1.4991801358631998E-2</v>
      </c>
      <c r="L138">
        <f t="shared" si="14"/>
        <v>14.991801358631998</v>
      </c>
      <c r="M138">
        <f>H138/G138</f>
        <v>64</v>
      </c>
      <c r="N138">
        <f>G138/E138</f>
        <v>1.0971288138940393E-2</v>
      </c>
    </row>
    <row r="139" spans="1:14" x14ac:dyDescent="0.35">
      <c r="A139">
        <v>72</v>
      </c>
      <c r="B139" t="s">
        <v>122</v>
      </c>
      <c r="C139">
        <v>47.493000000000002</v>
      </c>
      <c r="D139">
        <v>8.5540000000000003</v>
      </c>
      <c r="E139">
        <v>92.225999999999999</v>
      </c>
      <c r="F139">
        <v>4649</v>
      </c>
      <c r="G139">
        <v>2</v>
      </c>
      <c r="H139">
        <v>135</v>
      </c>
      <c r="I139">
        <f t="shared" si="12"/>
        <v>4.3020004302000433E-4</v>
      </c>
      <c r="J139">
        <f t="shared" si="13"/>
        <v>0.43020004302000431</v>
      </c>
      <c r="K139">
        <f>H139/F139</f>
        <v>2.9038502903850291E-2</v>
      </c>
      <c r="L139">
        <f t="shared" si="14"/>
        <v>29.03850290385029</v>
      </c>
      <c r="M139">
        <f>H139/G139</f>
        <v>67.5</v>
      </c>
      <c r="N139">
        <f>G139/E139</f>
        <v>2.1685858651573308E-2</v>
      </c>
    </row>
    <row r="140" spans="1:14" x14ac:dyDescent="0.35">
      <c r="A140">
        <v>13</v>
      </c>
      <c r="B140" t="s">
        <v>61</v>
      </c>
      <c r="C140">
        <v>47.32</v>
      </c>
      <c r="D140">
        <v>8.4932099999999995</v>
      </c>
      <c r="E140">
        <v>93.756</v>
      </c>
      <c r="F140">
        <v>3785</v>
      </c>
      <c r="G140">
        <v>3</v>
      </c>
      <c r="H140">
        <v>109</v>
      </c>
      <c r="I140">
        <f t="shared" si="12"/>
        <v>7.9260237780713345E-4</v>
      </c>
      <c r="J140">
        <f t="shared" si="13"/>
        <v>0.7926023778071335</v>
      </c>
      <c r="K140">
        <f>H140/F140</f>
        <v>2.879788639365918E-2</v>
      </c>
      <c r="L140">
        <f t="shared" si="14"/>
        <v>28.79788639365918</v>
      </c>
      <c r="M140">
        <f>H140/G140</f>
        <v>36.333333333333336</v>
      </c>
      <c r="N140">
        <f>G140/E140</f>
        <v>3.1997952131063614E-2</v>
      </c>
    </row>
    <row r="141" spans="1:14" x14ac:dyDescent="0.35">
      <c r="A141">
        <v>102</v>
      </c>
      <c r="B141" t="s">
        <v>66</v>
      </c>
      <c r="C141">
        <v>47.557499999999997</v>
      </c>
      <c r="D141">
        <v>8.4407599999999992</v>
      </c>
      <c r="E141">
        <v>95.9</v>
      </c>
      <c r="F141">
        <v>1987</v>
      </c>
      <c r="G141">
        <v>1</v>
      </c>
      <c r="H141">
        <v>40</v>
      </c>
      <c r="I141">
        <f t="shared" si="12"/>
        <v>5.0327126321087065E-4</v>
      </c>
      <c r="J141">
        <f t="shared" si="13"/>
        <v>0.50327126321087068</v>
      </c>
      <c r="K141">
        <f>H141/F141</f>
        <v>2.0130850528434826E-2</v>
      </c>
      <c r="L141">
        <f t="shared" si="14"/>
        <v>20.130850528434827</v>
      </c>
      <c r="M141">
        <f>H141/G141</f>
        <v>40</v>
      </c>
      <c r="N141">
        <f>G141/E141</f>
        <v>1.0427528675703858E-2</v>
      </c>
    </row>
    <row r="142" spans="1:14" x14ac:dyDescent="0.35">
      <c r="A142">
        <v>89</v>
      </c>
      <c r="B142" t="s">
        <v>76</v>
      </c>
      <c r="C142">
        <v>47.494399999999999</v>
      </c>
      <c r="D142">
        <v>8.4999400000000005</v>
      </c>
      <c r="E142">
        <v>96.025999999999996</v>
      </c>
      <c r="F142">
        <v>4937</v>
      </c>
      <c r="G142">
        <v>3</v>
      </c>
      <c r="H142">
        <v>144</v>
      </c>
      <c r="I142">
        <f t="shared" si="12"/>
        <v>6.0765647154142194E-4</v>
      </c>
      <c r="J142">
        <f t="shared" si="13"/>
        <v>0.60765647154142199</v>
      </c>
      <c r="K142">
        <f>H142/F142</f>
        <v>2.9167510633988251E-2</v>
      </c>
      <c r="L142">
        <f t="shared" si="14"/>
        <v>29.16751063398825</v>
      </c>
      <c r="M142">
        <f>H142/G142</f>
        <v>48</v>
      </c>
      <c r="N142">
        <f>G142/E142</f>
        <v>3.1241538749921898E-2</v>
      </c>
    </row>
    <row r="143" spans="1:14" x14ac:dyDescent="0.35">
      <c r="A143">
        <v>5</v>
      </c>
      <c r="B143" t="s">
        <v>135</v>
      </c>
      <c r="C143">
        <v>47.302900000000001</v>
      </c>
      <c r="D143">
        <v>8.4520099999999996</v>
      </c>
      <c r="E143">
        <v>97.744</v>
      </c>
      <c r="F143">
        <v>3793</v>
      </c>
      <c r="G143">
        <v>1</v>
      </c>
      <c r="H143">
        <v>79</v>
      </c>
      <c r="I143">
        <f t="shared" si="12"/>
        <v>2.636435539151068E-4</v>
      </c>
      <c r="J143">
        <f t="shared" si="13"/>
        <v>0.2636435539151068</v>
      </c>
      <c r="K143">
        <f>H143/F143</f>
        <v>2.0827840759293434E-2</v>
      </c>
      <c r="L143">
        <f t="shared" si="14"/>
        <v>20.827840759293434</v>
      </c>
      <c r="M143">
        <f>H143/G143</f>
        <v>79</v>
      </c>
      <c r="N143">
        <f>G143/E143</f>
        <v>1.0230807006056638E-2</v>
      </c>
    </row>
    <row r="144" spans="1:14" x14ac:dyDescent="0.35">
      <c r="A144">
        <v>224</v>
      </c>
      <c r="B144" t="s">
        <v>133</v>
      </c>
      <c r="C144">
        <v>47.512599999999999</v>
      </c>
      <c r="D144">
        <v>8.6436100000000007</v>
      </c>
      <c r="E144">
        <v>100.798</v>
      </c>
      <c r="F144">
        <v>3945</v>
      </c>
      <c r="G144">
        <v>2</v>
      </c>
      <c r="H144">
        <v>152</v>
      </c>
      <c r="I144">
        <f t="shared" si="12"/>
        <v>5.0697084917617234E-4</v>
      </c>
      <c r="J144">
        <f t="shared" si="13"/>
        <v>0.5069708491761723</v>
      </c>
      <c r="K144">
        <f>H144/F144</f>
        <v>3.8529784537389103E-2</v>
      </c>
      <c r="L144">
        <f t="shared" si="14"/>
        <v>38.529784537389105</v>
      </c>
      <c r="M144">
        <f>H144/G144</f>
        <v>76</v>
      </c>
      <c r="N144">
        <f>G144/E144</f>
        <v>1.9841663525069941E-2</v>
      </c>
    </row>
    <row r="145" spans="1:14" x14ac:dyDescent="0.35">
      <c r="A145">
        <v>251</v>
      </c>
      <c r="B145" t="s">
        <v>161</v>
      </c>
      <c r="C145">
        <v>47.421500000000002</v>
      </c>
      <c r="D145">
        <v>8.4314499999999999</v>
      </c>
      <c r="E145">
        <v>102.249</v>
      </c>
      <c r="F145">
        <v>4857</v>
      </c>
      <c r="G145">
        <v>1</v>
      </c>
      <c r="H145">
        <v>148</v>
      </c>
      <c r="I145">
        <f t="shared" si="12"/>
        <v>2.0588840848260242E-4</v>
      </c>
      <c r="J145">
        <f t="shared" si="13"/>
        <v>0.20588840848260243</v>
      </c>
      <c r="K145">
        <f>H145/F145</f>
        <v>3.0471484455425159E-2</v>
      </c>
      <c r="L145">
        <f t="shared" si="14"/>
        <v>30.471484455425159</v>
      </c>
      <c r="M145">
        <f>H145/G145</f>
        <v>148</v>
      </c>
      <c r="N145">
        <f>G145/E145</f>
        <v>9.7800467486234589E-3</v>
      </c>
    </row>
    <row r="146" spans="1:14" x14ac:dyDescent="0.35">
      <c r="A146">
        <v>180</v>
      </c>
      <c r="B146" t="s">
        <v>108</v>
      </c>
      <c r="C146">
        <v>47.431800000000003</v>
      </c>
      <c r="D146">
        <v>8.7744300000000006</v>
      </c>
      <c r="E146">
        <v>106.074</v>
      </c>
      <c r="F146">
        <v>3370</v>
      </c>
      <c r="G146">
        <v>2</v>
      </c>
      <c r="H146">
        <v>125</v>
      </c>
      <c r="I146">
        <f t="shared" si="12"/>
        <v>5.9347181008902075E-4</v>
      </c>
      <c r="J146">
        <f t="shared" si="13"/>
        <v>0.59347181008902072</v>
      </c>
      <c r="K146">
        <f>H146/F146</f>
        <v>3.7091988130563795E-2</v>
      </c>
      <c r="L146">
        <f t="shared" si="14"/>
        <v>37.091988130563799</v>
      </c>
      <c r="M146">
        <f>H146/G146</f>
        <v>62.5</v>
      </c>
      <c r="N146">
        <f>G146/E146</f>
        <v>1.8854761770085035E-2</v>
      </c>
    </row>
    <row r="147" spans="1:14" x14ac:dyDescent="0.35">
      <c r="A147">
        <v>14</v>
      </c>
      <c r="B147" t="s">
        <v>112</v>
      </c>
      <c r="C147">
        <v>47.338500000000003</v>
      </c>
      <c r="D147">
        <v>8.4711999999999996</v>
      </c>
      <c r="E147">
        <v>106.875</v>
      </c>
      <c r="F147">
        <v>5278</v>
      </c>
      <c r="G147">
        <v>2</v>
      </c>
      <c r="H147">
        <v>127</v>
      </c>
      <c r="I147">
        <f t="shared" si="12"/>
        <v>3.7893141341417203E-4</v>
      </c>
      <c r="J147">
        <f t="shared" si="13"/>
        <v>0.37893141341417202</v>
      </c>
      <c r="K147">
        <f>H147/F147</f>
        <v>2.4062144751799925E-2</v>
      </c>
      <c r="L147">
        <f t="shared" si="14"/>
        <v>24.062144751799924</v>
      </c>
      <c r="M147">
        <f>H147/G147</f>
        <v>63.5</v>
      </c>
      <c r="N147">
        <f>G147/E147</f>
        <v>1.8713450292397661E-2</v>
      </c>
    </row>
    <row r="148" spans="1:14" x14ac:dyDescent="0.35">
      <c r="A148">
        <v>55</v>
      </c>
      <c r="B148" t="s">
        <v>145</v>
      </c>
      <c r="C148">
        <v>47.5747</v>
      </c>
      <c r="D148">
        <v>8.5272400000000008</v>
      </c>
      <c r="E148">
        <v>107.38</v>
      </c>
      <c r="F148">
        <v>5499</v>
      </c>
      <c r="G148">
        <v>2</v>
      </c>
      <c r="H148">
        <v>180</v>
      </c>
      <c r="I148">
        <f t="shared" si="12"/>
        <v>3.6370249136206582E-4</v>
      </c>
      <c r="J148">
        <f t="shared" si="13"/>
        <v>0.36370249136206584</v>
      </c>
      <c r="K148">
        <f>H148/F148</f>
        <v>3.2733224222585927E-2</v>
      </c>
      <c r="L148">
        <f t="shared" si="14"/>
        <v>32.733224222585925</v>
      </c>
      <c r="M148">
        <f>H148/G148</f>
        <v>90</v>
      </c>
      <c r="N148">
        <f>G148/E148</f>
        <v>1.8625442354255915E-2</v>
      </c>
    </row>
    <row r="149" spans="1:14" x14ac:dyDescent="0.35">
      <c r="A149">
        <v>157</v>
      </c>
      <c r="B149" t="s">
        <v>109</v>
      </c>
      <c r="C149">
        <v>47.275300000000001</v>
      </c>
      <c r="D149">
        <v>8.7247199999999996</v>
      </c>
      <c r="E149">
        <v>109.011</v>
      </c>
      <c r="F149">
        <v>4848</v>
      </c>
      <c r="G149">
        <v>2</v>
      </c>
      <c r="H149">
        <v>126</v>
      </c>
      <c r="I149">
        <f t="shared" si="12"/>
        <v>4.1254125412541255E-4</v>
      </c>
      <c r="J149">
        <f t="shared" si="13"/>
        <v>0.41254125412541254</v>
      </c>
      <c r="K149">
        <f>H149/F149</f>
        <v>2.5990099009900989E-2</v>
      </c>
      <c r="L149">
        <f t="shared" si="14"/>
        <v>25.990099009900987</v>
      </c>
      <c r="M149">
        <f>H149/G149</f>
        <v>63</v>
      </c>
      <c r="N149">
        <f>G149/E149</f>
        <v>1.834677234407537E-2</v>
      </c>
    </row>
    <row r="150" spans="1:14" x14ac:dyDescent="0.35">
      <c r="A150">
        <v>116</v>
      </c>
      <c r="B150" t="s">
        <v>53</v>
      </c>
      <c r="C150">
        <v>47.280700000000003</v>
      </c>
      <c r="D150">
        <v>8.7630400000000002</v>
      </c>
      <c r="E150">
        <v>109.375</v>
      </c>
      <c r="F150">
        <v>3715</v>
      </c>
      <c r="G150">
        <v>2</v>
      </c>
      <c r="H150">
        <v>67</v>
      </c>
      <c r="I150">
        <f t="shared" si="12"/>
        <v>5.3835800807537008E-4</v>
      </c>
      <c r="J150">
        <f t="shared" si="13"/>
        <v>0.53835800807537004</v>
      </c>
      <c r="K150">
        <f>H150/F150</f>
        <v>1.80349932705249E-2</v>
      </c>
      <c r="L150">
        <f t="shared" si="14"/>
        <v>18.0349932705249</v>
      </c>
      <c r="M150">
        <f>H150/G150</f>
        <v>33.5</v>
      </c>
      <c r="N150">
        <f>G150/E150</f>
        <v>1.8285714285714287E-2</v>
      </c>
    </row>
    <row r="151" spans="1:14" x14ac:dyDescent="0.35">
      <c r="A151">
        <v>219</v>
      </c>
      <c r="B151" t="s">
        <v>118</v>
      </c>
      <c r="C151">
        <v>47.503900000000002</v>
      </c>
      <c r="D151">
        <v>8.8090899999999994</v>
      </c>
      <c r="E151">
        <v>110.952</v>
      </c>
      <c r="F151">
        <v>3654</v>
      </c>
      <c r="G151">
        <v>1</v>
      </c>
      <c r="H151">
        <v>65</v>
      </c>
      <c r="I151">
        <f t="shared" si="12"/>
        <v>2.7367268746579092E-4</v>
      </c>
      <c r="J151">
        <f t="shared" si="13"/>
        <v>0.27367268746579093</v>
      </c>
      <c r="K151">
        <f>H151/F151</f>
        <v>1.7788724685276411E-2</v>
      </c>
      <c r="L151">
        <f t="shared" si="14"/>
        <v>17.78872468527641</v>
      </c>
      <c r="M151">
        <f>H151/G151</f>
        <v>65</v>
      </c>
      <c r="N151">
        <f>G151/E151</f>
        <v>9.0129064820823421E-3</v>
      </c>
    </row>
    <row r="152" spans="1:14" x14ac:dyDescent="0.35">
      <c r="A152">
        <v>71</v>
      </c>
      <c r="B152" t="s">
        <v>75</v>
      </c>
      <c r="C152">
        <v>47.606900000000003</v>
      </c>
      <c r="D152">
        <v>8.5076000000000001</v>
      </c>
      <c r="E152">
        <v>114.68800000000002</v>
      </c>
      <c r="F152">
        <v>1487</v>
      </c>
      <c r="G152">
        <v>1</v>
      </c>
      <c r="H152">
        <v>48</v>
      </c>
      <c r="I152">
        <f t="shared" si="12"/>
        <v>6.7249495628782783E-4</v>
      </c>
      <c r="J152">
        <f t="shared" si="13"/>
        <v>0.67249495628782785</v>
      </c>
      <c r="K152">
        <f>H152/F152</f>
        <v>3.2279757901815739E-2</v>
      </c>
      <c r="L152">
        <f t="shared" si="14"/>
        <v>32.279757901815742</v>
      </c>
      <c r="M152">
        <f>H152/G152</f>
        <v>48</v>
      </c>
      <c r="N152">
        <f>G152/E152</f>
        <v>8.7193080357142842E-3</v>
      </c>
    </row>
    <row r="153" spans="1:14" x14ac:dyDescent="0.35">
      <c r="A153">
        <v>196</v>
      </c>
      <c r="B153" t="s">
        <v>58</v>
      </c>
      <c r="C153">
        <v>47.3142</v>
      </c>
      <c r="D153">
        <v>8.7243600000000008</v>
      </c>
      <c r="E153">
        <v>115.672</v>
      </c>
      <c r="F153">
        <v>4078</v>
      </c>
      <c r="G153">
        <v>3</v>
      </c>
      <c r="H153">
        <v>107</v>
      </c>
      <c r="I153">
        <f t="shared" si="12"/>
        <v>7.3565473271211383E-4</v>
      </c>
      <c r="J153">
        <f t="shared" si="13"/>
        <v>0.73565473271211379</v>
      </c>
      <c r="K153">
        <f>H153/F153</f>
        <v>2.6238352133398726E-2</v>
      </c>
      <c r="L153">
        <f t="shared" si="14"/>
        <v>26.238352133398724</v>
      </c>
      <c r="M153">
        <f>H153/G153</f>
        <v>35.666666666666664</v>
      </c>
      <c r="N153">
        <f>G153/E153</f>
        <v>2.5935403554879315E-2</v>
      </c>
    </row>
    <row r="154" spans="1:14" x14ac:dyDescent="0.35">
      <c r="A154">
        <v>35</v>
      </c>
      <c r="B154" t="s">
        <v>55</v>
      </c>
      <c r="C154">
        <v>47.621400000000001</v>
      </c>
      <c r="D154">
        <v>8.6417999999999999</v>
      </c>
      <c r="E154">
        <v>117.52800000000001</v>
      </c>
      <c r="F154">
        <v>1929</v>
      </c>
      <c r="G154">
        <v>3</v>
      </c>
      <c r="H154">
        <v>102</v>
      </c>
      <c r="I154">
        <f t="shared" si="12"/>
        <v>1.5552099533437014E-3</v>
      </c>
      <c r="J154">
        <f t="shared" si="13"/>
        <v>1.5552099533437014</v>
      </c>
      <c r="K154">
        <f>H154/F154</f>
        <v>5.2877138413685847E-2</v>
      </c>
      <c r="L154">
        <f t="shared" si="14"/>
        <v>52.877138413685849</v>
      </c>
      <c r="M154">
        <f>H154/G154</f>
        <v>34</v>
      </c>
      <c r="N154">
        <f>G154/E154</f>
        <v>2.5525832142127832E-2</v>
      </c>
    </row>
    <row r="155" spans="1:14" x14ac:dyDescent="0.35">
      <c r="A155">
        <v>4</v>
      </c>
      <c r="B155" t="s">
        <v>89</v>
      </c>
      <c r="C155">
        <v>47.258800000000001</v>
      </c>
      <c r="D155">
        <v>8.5204000000000004</v>
      </c>
      <c r="E155">
        <v>118.581</v>
      </c>
      <c r="F155">
        <v>3797</v>
      </c>
      <c r="G155">
        <v>2</v>
      </c>
      <c r="H155">
        <v>106</v>
      </c>
      <c r="I155">
        <f t="shared" si="12"/>
        <v>5.267316302343956E-4</v>
      </c>
      <c r="J155">
        <f t="shared" si="13"/>
        <v>0.52673163023439562</v>
      </c>
      <c r="K155">
        <f>H155/F155</f>
        <v>2.7916776402422964E-2</v>
      </c>
      <c r="L155">
        <f t="shared" si="14"/>
        <v>27.916776402422965</v>
      </c>
      <c r="M155">
        <f>H155/G155</f>
        <v>53</v>
      </c>
      <c r="N155">
        <f>G155/E155</f>
        <v>1.6866108398478675E-2</v>
      </c>
    </row>
    <row r="156" spans="1:14" x14ac:dyDescent="0.35">
      <c r="A156">
        <v>100</v>
      </c>
      <c r="B156" t="s">
        <v>137</v>
      </c>
      <c r="C156">
        <v>47.539299999999997</v>
      </c>
      <c r="D156">
        <v>8.4712800000000001</v>
      </c>
      <c r="E156">
        <v>119.78400000000002</v>
      </c>
      <c r="F156">
        <v>2335</v>
      </c>
      <c r="G156">
        <v>1</v>
      </c>
      <c r="H156">
        <v>80</v>
      </c>
      <c r="I156">
        <f t="shared" si="12"/>
        <v>4.2826552462526765E-4</v>
      </c>
      <c r="J156">
        <f t="shared" si="13"/>
        <v>0.42826552462526762</v>
      </c>
      <c r="K156">
        <f>H156/F156</f>
        <v>3.4261241970021415E-2</v>
      </c>
      <c r="L156">
        <f t="shared" si="14"/>
        <v>34.261241970021416</v>
      </c>
      <c r="M156">
        <f>H156/G156</f>
        <v>80</v>
      </c>
      <c r="N156">
        <f>G156/E156</f>
        <v>8.3483603820209695E-3</v>
      </c>
    </row>
    <row r="157" spans="1:14" x14ac:dyDescent="0.35">
      <c r="A157">
        <v>9</v>
      </c>
      <c r="B157" t="s">
        <v>107</v>
      </c>
      <c r="C157">
        <v>47.249200000000002</v>
      </c>
      <c r="D157">
        <v>8.4651499999999995</v>
      </c>
      <c r="E157">
        <v>129.393</v>
      </c>
      <c r="F157">
        <v>5378</v>
      </c>
      <c r="G157">
        <v>2</v>
      </c>
      <c r="H157">
        <v>125</v>
      </c>
      <c r="I157">
        <f t="shared" si="12"/>
        <v>3.7188545927854219E-4</v>
      </c>
      <c r="J157">
        <f t="shared" si="13"/>
        <v>0.37188545927854222</v>
      </c>
      <c r="K157">
        <f>H157/F157</f>
        <v>2.3242841204908889E-2</v>
      </c>
      <c r="L157">
        <f t="shared" si="14"/>
        <v>23.242841204908888</v>
      </c>
      <c r="M157">
        <f>H157/G157</f>
        <v>62.5</v>
      </c>
      <c r="N157">
        <f>G157/E157</f>
        <v>1.5456786688615304E-2</v>
      </c>
    </row>
    <row r="158" spans="1:14" x14ac:dyDescent="0.35">
      <c r="A158">
        <v>228</v>
      </c>
      <c r="B158" t="s">
        <v>160</v>
      </c>
      <c r="C158">
        <v>47.433700000000002</v>
      </c>
      <c r="D158">
        <v>8.8808900000000008</v>
      </c>
      <c r="E158">
        <v>131.30000000000001</v>
      </c>
      <c r="F158">
        <v>4989</v>
      </c>
      <c r="G158">
        <v>1</v>
      </c>
      <c r="H158">
        <v>146</v>
      </c>
      <c r="I158">
        <f t="shared" si="12"/>
        <v>2.0044097013429546E-4</v>
      </c>
      <c r="J158">
        <f t="shared" si="13"/>
        <v>0.20044097013429546</v>
      </c>
      <c r="K158">
        <f>H158/F158</f>
        <v>2.9264381639607137E-2</v>
      </c>
      <c r="L158">
        <f t="shared" si="14"/>
        <v>29.264381639607137</v>
      </c>
      <c r="M158">
        <f>H158/G158</f>
        <v>146</v>
      </c>
      <c r="N158">
        <f>G158/E158</f>
        <v>7.6161462300076152E-3</v>
      </c>
    </row>
    <row r="159" spans="1:14" x14ac:dyDescent="0.35">
      <c r="A159">
        <v>67</v>
      </c>
      <c r="B159" t="s">
        <v>155</v>
      </c>
      <c r="C159">
        <v>47.6145</v>
      </c>
      <c r="D159">
        <v>8.5446299999999997</v>
      </c>
      <c r="E159">
        <v>132.804</v>
      </c>
      <c r="F159">
        <v>4624</v>
      </c>
      <c r="G159">
        <v>1</v>
      </c>
      <c r="H159">
        <v>113</v>
      </c>
      <c r="I159">
        <f t="shared" si="12"/>
        <v>2.1626297577854672E-4</v>
      </c>
      <c r="J159">
        <f t="shared" si="13"/>
        <v>0.21626297577854672</v>
      </c>
      <c r="K159">
        <f>H159/F159</f>
        <v>2.4437716262975778E-2</v>
      </c>
      <c r="L159">
        <f t="shared" si="14"/>
        <v>24.43771626297578</v>
      </c>
      <c r="M159">
        <f>H159/G159</f>
        <v>113</v>
      </c>
      <c r="N159">
        <f>G159/E159</f>
        <v>7.5298936779012683E-3</v>
      </c>
    </row>
    <row r="160" spans="1:14" x14ac:dyDescent="0.35">
      <c r="A160">
        <v>173</v>
      </c>
      <c r="B160" t="s">
        <v>152</v>
      </c>
      <c r="C160">
        <v>47.367600000000003</v>
      </c>
      <c r="D160">
        <v>8.8302999999999994</v>
      </c>
      <c r="E160">
        <v>135.096</v>
      </c>
      <c r="F160">
        <v>3728</v>
      </c>
      <c r="G160">
        <v>1</v>
      </c>
      <c r="H160">
        <v>107</v>
      </c>
      <c r="I160">
        <f t="shared" si="12"/>
        <v>2.6824034334763948E-4</v>
      </c>
      <c r="J160">
        <f t="shared" si="13"/>
        <v>0.26824034334763946</v>
      </c>
      <c r="K160">
        <f>H160/F160</f>
        <v>2.8701716738197425E-2</v>
      </c>
      <c r="L160">
        <f t="shared" si="14"/>
        <v>28.701716738197426</v>
      </c>
      <c r="M160">
        <f>H160/G160</f>
        <v>107</v>
      </c>
      <c r="N160">
        <f>G160/E160</f>
        <v>7.4021436608041691E-3</v>
      </c>
    </row>
    <row r="161" spans="1:14" x14ac:dyDescent="0.35">
      <c r="A161">
        <v>94</v>
      </c>
      <c r="B161" t="s">
        <v>67</v>
      </c>
      <c r="C161">
        <v>47.465800000000002</v>
      </c>
      <c r="D161">
        <v>8.3910999999999998</v>
      </c>
      <c r="E161">
        <v>155.08799999999999</v>
      </c>
      <c r="F161">
        <v>2940</v>
      </c>
      <c r="G161">
        <v>2</v>
      </c>
      <c r="H161">
        <v>81</v>
      </c>
      <c r="I161">
        <f t="shared" si="12"/>
        <v>6.8027210884353737E-4</v>
      </c>
      <c r="J161">
        <f t="shared" si="13"/>
        <v>0.68027210884353739</v>
      </c>
      <c r="K161">
        <f>H161/F161</f>
        <v>2.7551020408163266E-2</v>
      </c>
      <c r="L161">
        <f t="shared" si="14"/>
        <v>27.551020408163264</v>
      </c>
      <c r="M161">
        <f>H161/G161</f>
        <v>40.5</v>
      </c>
      <c r="N161">
        <f>G161/E161</f>
        <v>1.2895904260806768E-2</v>
      </c>
    </row>
    <row r="162" spans="1:14" x14ac:dyDescent="0.35">
      <c r="A162">
        <v>230</v>
      </c>
      <c r="B162" t="s">
        <v>146</v>
      </c>
      <c r="C162">
        <v>47.498100000000001</v>
      </c>
      <c r="D162">
        <v>8.7351799999999997</v>
      </c>
      <c r="E162">
        <v>1737.0600000000002</v>
      </c>
      <c r="F162">
        <v>114087</v>
      </c>
      <c r="G162">
        <v>25</v>
      </c>
      <c r="H162">
        <v>2371</v>
      </c>
      <c r="I162">
        <f t="shared" si="12"/>
        <v>2.1913101405068061E-4</v>
      </c>
      <c r="J162">
        <f t="shared" ref="J162:J163" si="15">I162*1000</f>
        <v>0.21913101405068061</v>
      </c>
      <c r="K162">
        <f>H162/F162</f>
        <v>2.0782385372566551E-2</v>
      </c>
      <c r="L162">
        <f t="shared" ref="L162:L193" si="16">K162*1000</f>
        <v>20.782385372566551</v>
      </c>
      <c r="M162">
        <f>H162/G162</f>
        <v>94.84</v>
      </c>
      <c r="N162">
        <f>G162/E162</f>
        <v>1.439213383533096E-2</v>
      </c>
    </row>
    <row r="163" spans="1:14" x14ac:dyDescent="0.35">
      <c r="A163">
        <v>261</v>
      </c>
      <c r="B163" t="s">
        <v>132</v>
      </c>
      <c r="C163">
        <v>47.366700000000002</v>
      </c>
      <c r="D163">
        <v>8.5500000000000007</v>
      </c>
      <c r="E163">
        <v>4193.7840000000006</v>
      </c>
      <c r="F163">
        <v>420891</v>
      </c>
      <c r="G163">
        <v>163</v>
      </c>
      <c r="H163">
        <v>12164</v>
      </c>
      <c r="I163">
        <f t="shared" si="12"/>
        <v>3.8727366467802826E-4</v>
      </c>
      <c r="J163">
        <f t="shared" si="15"/>
        <v>0.38727366467802826</v>
      </c>
      <c r="K163">
        <f>H163/F163</f>
        <v>2.8900594215604515E-2</v>
      </c>
      <c r="L163">
        <f t="shared" si="16"/>
        <v>28.900594215604514</v>
      </c>
      <c r="M163">
        <f>H163/G163</f>
        <v>74.625766871165638</v>
      </c>
      <c r="N163">
        <f>G163/E163</f>
        <v>3.8867047039141733E-2</v>
      </c>
    </row>
  </sheetData>
  <autoFilter ref="A1:N163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Sammelstellen_Menge_Bevölkerung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Gloor</dc:creator>
  <cp:lastModifiedBy>Sarah Gloor</cp:lastModifiedBy>
  <dcterms:created xsi:type="dcterms:W3CDTF">2021-05-13T15:46:39Z</dcterms:created>
  <dcterms:modified xsi:type="dcterms:W3CDTF">2021-06-15T12:47:03Z</dcterms:modified>
</cp:coreProperties>
</file>